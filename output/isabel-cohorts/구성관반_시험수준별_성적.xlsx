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<sst xmlns="http://schemas.openxmlformats.org/spreadsheetml/2006/main" count="128" uniqueCount="50">
  <si>
    <r>
      <rPr>
        <b val="true"/>
        <sz val="14"/>
        <rFont val="WenQuanYi Zen Hei"/>
        <family val="2"/>
      </rPr>
      <t xml:space="preserve">구성관 반 시험 수준별 성적 변화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</si>
  <si>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2023 1M-S</t>
    </r>
    <r>
      <rPr>
        <sz val="9"/>
        <color rgb="FF666666"/>
        <rFont val="WenQuanYi Zen Hei"/>
        <family val="2"/>
      </rPr>
      <t xml:space="preserve">부터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년 동안 다닌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구성관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송지효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신준섭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박주연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</si>
  <si>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</si>
  <si>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</si>
  <si>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1(2023)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</si>
  <si>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3(2025)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</si>
  <si>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</si>
  <si>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</si>
  <si>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</si>
  <si>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</si>
  <si>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2025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3·4</t>
    </r>
    <r>
      <rPr>
        <sz val="11"/>
        <rFont val="WenQuanYi Zen Hei"/>
        <family val="2"/>
      </rPr>
      <t xml:space="preserve">차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받은 사진에 기록이 없어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시트가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</si>
  <si>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</si>
  <si>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</si>
  <si>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</si>
  <si>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</si>
  <si>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</si>
  <si>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</si>
  <si>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</si>
  <si>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</si>
  <si>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</si>
  <si>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</si>
  <si>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</si>
  <si>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</si>
  <si>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</si>
  <si>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</si>
  <si>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1(2023)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</si>
  <si>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</si>
  <si>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</si>
  <si>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</si>
  <si>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</si>
  <si>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</si>
  <si>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</si>
  <si>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</si>
  <si>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</si>
  <si>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</si>
  <si>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</si>
  <si>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</si>
  <si>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</si>
  <si>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</si>
  <si>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</si>
  <si>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</si>
  <si>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</si>
  <si>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</si>
  <si>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</si>
  <si>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</si>
  <si>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3(2025)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</si>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</sst>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10438"/>
        <c:axId val="8631828"/>
      </c:lineChart>
      <c:catAx>
        <c:axId val="82110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1828"/>
        <c:crosses val="autoZero"/>
        <c:auto val="1"/>
        <c:lblAlgn val="ctr"/>
        <c:lblOffset val="100"/>
        <c:noMultiLvlLbl val="0"/>
      </c:catAx>
      <c:valAx>
        <c:axId val="8631828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1043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0">
                  <c:v>17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0">
                  <c:v>15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790734"/>
        <c:axId val="67619163"/>
      </c:lineChart>
      <c:catAx>
        <c:axId val="90790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19163"/>
        <c:crosses val="autoZero"/>
        <c:auto val="1"/>
        <c:lblAlgn val="ctr"/>
        <c:lblOffset val="100"/>
        <c:noMultiLvlLbl val="0"/>
      </c:catAx>
      <c:valAx>
        <c:axId val="67619163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9073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18</c:v>
                </c:pt>
                <c:pt idx="3">
                  <c:v>21</c:v>
                </c:pt>
                <c:pt idx="4">
                  <c:v>21</c:v>
                </c:pt>
                <c:pt idx="5">
                  <c:v>26</c:v>
                </c:pt>
                <c:pt idx="6">
                  <c:v>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0">
                  <c:v>12</c:v>
                </c:pt>
                <c:pt idx="1">
                  <c:v>20</c:v>
                </c:pt>
                <c:pt idx="2">
                  <c:v>21</c:v>
                </c:pt>
                <c:pt idx="3">
                  <c:v>25</c:v>
                </c:pt>
                <c:pt idx="4">
                  <c:v>26</c:v>
                </c:pt>
                <c:pt idx="5">
                  <c:v>28</c:v>
                </c:pt>
                <c:pt idx="6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0">
                  <c:v>16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0">
                  <c:v>15</c:v>
                </c:pt>
                <c:pt idx="1">
                  <c:v>15</c:v>
                </c:pt>
                <c:pt idx="2">
                  <c:v>17</c:v>
                </c:pt>
                <c:pt idx="3">
                  <c:v>21</c:v>
                </c:pt>
                <c:pt idx="4">
                  <c:v>18</c:v>
                </c:pt>
                <c:pt idx="5">
                  <c:v>25</c:v>
                </c:pt>
                <c:pt idx="6">
                  <c:v>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321976"/>
        <c:axId val="65756103"/>
      </c:lineChart>
      <c:catAx>
        <c:axId val="10321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56103"/>
        <c:crosses val="autoZero"/>
        <c:auto val="1"/>
        <c:lblAlgn val="ctr"/>
        <c:lblOffset val="100"/>
        <c:noMultiLvlLbl val="0"/>
      </c:catAx>
      <c:valAx>
        <c:axId val="65756103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2197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235447"/>
        <c:axId val="39588961"/>
      </c:lineChart>
      <c:catAx>
        <c:axId val="69235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88961"/>
        <c:crosses val="autoZero"/>
        <c:auto val="1"/>
        <c:lblAlgn val="ctr"/>
        <c:lblOffset val="100"/>
        <c:noMultiLvlLbl val="0"/>
      </c:catAx>
      <c:valAx>
        <c:axId val="39588961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3544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15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152608"/>
        <c:axId val="29627265"/>
      </c:lineChart>
      <c:catAx>
        <c:axId val="8715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27265"/>
        <c:crosses val="autoZero"/>
        <c:auto val="1"/>
        <c:lblAlgn val="ctr"/>
        <c:lblOffset val="100"/>
        <c:noMultiLvlLbl val="0"/>
      </c:catAx>
      <c:valAx>
        <c:axId val="29627265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52608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25</c:v>
                </c:pt>
                <c:pt idx="1">
                  <c:v>28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25</c:v>
                </c:pt>
                <c:pt idx="1">
                  <c:v>22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26</c:v>
                </c:pt>
                <c:pt idx="1">
                  <c:v>19</c:v>
                </c:pt>
                <c:pt idx="2">
                  <c:v>23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17</c:v>
                </c:pt>
                <c:pt idx="1">
                  <c:v>18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776371"/>
        <c:axId val="69179502"/>
      </c:lineChart>
      <c:catAx>
        <c:axId val="307763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79502"/>
        <c:crosses val="autoZero"/>
        <c:auto val="1"/>
        <c:lblAlgn val="ctr"/>
        <c:lblOffset val="100"/>
        <c:noMultiLvlLbl val="0"/>
      </c:catAx>
      <c:valAx>
        <c:axId val="69179502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7637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4.9" hidden="false" customHeight="false" outlineLevel="0" collapsed="false">
      <c r="A10" s="3" t="s">
        <v>7</v>
      </c>
    </row>
    <row r="11" customFormat="false" ht="14.9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4.9" hidden="false" customHeight="false" outlineLevel="0" collapsed="false">
      <c r="A14" s="3" t="s">
        <v>10</v>
      </c>
    </row>
    <row r="15" customFormat="false" ht="14.9" hidden="false" customHeight="false" outlineLevel="0" collapsed="false">
      <c r="A15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28.35" hidden="false" customHeight="false" outlineLevel="0" collapsed="false">
      <c r="A4" s="5" t="s">
        <v>14</v>
      </c>
      <c r="B4" s="5" t="s">
        <v>15</v>
      </c>
      <c r="C4" s="5" t="s">
        <v>16</v>
      </c>
      <c r="D4" s="5" t="s">
        <v>17</v>
      </c>
      <c r="E4" s="5" t="s">
        <v>18</v>
      </c>
    </row>
    <row r="5" customFormat="false" ht="15" hidden="false" customHeight="false" outlineLevel="0" collapsed="false">
      <c r="A5" s="6" t="s">
        <v>19</v>
      </c>
      <c r="B5" s="7" t="s">
        <v>20</v>
      </c>
      <c r="C5" s="8" t="n">
        <f aca="false">'고1 모의고사'!I10</f>
        <v>67</v>
      </c>
      <c r="D5" s="8" t="n">
        <f aca="false">'고1 모의고사'!J10</f>
        <v>89</v>
      </c>
      <c r="E5" s="9" t="n">
        <f aca="false">D5-C5</f>
        <v>22</v>
      </c>
    </row>
    <row r="6" customFormat="false" ht="15" hidden="false" customHeight="false" outlineLevel="0" collapsed="false">
      <c r="A6" s="6" t="s">
        <v>19</v>
      </c>
      <c r="B6" s="7" t="s">
        <v>21</v>
      </c>
      <c r="C6" s="8" t="n">
        <f aca="false">'고1 모의고사'!I18</f>
        <v>16.25</v>
      </c>
      <c r="D6" s="8" t="n">
        <f aca="false">'고1 모의고사'!J18</f>
        <v>17</v>
      </c>
      <c r="E6" s="9" t="n">
        <f aca="false">D6-C6</f>
        <v>0.75</v>
      </c>
    </row>
    <row r="7" customFormat="false" ht="15" hidden="false" customHeight="false" outlineLevel="0" collapsed="false">
      <c r="A7" s="6" t="s">
        <v>19</v>
      </c>
      <c r="B7" s="7" t="s">
        <v>22</v>
      </c>
      <c r="C7" s="8" t="n">
        <f aca="false">'고1 모의고사'!I26</f>
        <v>14.75</v>
      </c>
      <c r="D7" s="8" t="n">
        <f aca="false">'고1 모의고사'!J26</f>
        <v>23.75</v>
      </c>
      <c r="E7" s="9" t="n">
        <f aca="false">D7-C7</f>
        <v>9</v>
      </c>
    </row>
    <row r="8" customFormat="false" ht="15" hidden="false" customHeight="false" outlineLevel="0" collapsed="false">
      <c r="A8" s="6" t="s">
        <v>23</v>
      </c>
      <c r="B8" s="7" t="s">
        <v>20</v>
      </c>
      <c r="C8" s="8" t="n">
        <f aca="false">'고2 모의고사'!F10</f>
        <v>86</v>
      </c>
      <c r="D8" s="8" t="n">
        <f aca="false">'고2 모의고사'!G10</f>
        <v>86.5</v>
      </c>
      <c r="E8" s="9" t="n">
        <f aca="false">D8-C8</f>
        <v>0.5</v>
      </c>
    </row>
    <row r="9" customFormat="false" ht="15" hidden="false" customHeight="false" outlineLevel="0" collapsed="false">
      <c r="A9" s="6" t="s">
        <v>23</v>
      </c>
      <c r="B9" s="7" t="s">
        <v>21</v>
      </c>
      <c r="C9" s="8" t="n">
        <f aca="false">'고2 모의고사'!F18</f>
        <v>16.5</v>
      </c>
      <c r="D9" s="8" t="n">
        <f aca="false">'고2 모의고사'!G18</f>
        <v>16.5</v>
      </c>
      <c r="E9" s="9" t="n">
        <f aca="false">D9-C9</f>
        <v>0</v>
      </c>
    </row>
    <row r="10" customFormat="false" ht="15" hidden="false" customHeight="false" outlineLevel="0" collapsed="false">
      <c r="A10" s="6" t="s">
        <v>23</v>
      </c>
      <c r="B10" s="7" t="s">
        <v>22</v>
      </c>
      <c r="C10" s="8" t="n">
        <f aca="false">'고2 모의고사'!F26</f>
        <v>23.25</v>
      </c>
      <c r="D10" s="8" t="n">
        <f aca="false">'고2 모의고사'!G26</f>
        <v>23</v>
      </c>
      <c r="E10" s="9" t="n">
        <f aca="false">D10-C10</f>
        <v>-0.25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4" t="s">
        <v>26</v>
      </c>
    </row>
    <row r="5" customFormat="false" ht="33.75" hidden="false" customHeight="true" outlineLevel="0" collapsed="false">
      <c r="A5" s="5" t="s">
        <v>27</v>
      </c>
      <c r="B5" s="5" t="s">
        <v>28</v>
      </c>
      <c r="C5" s="5" t="s">
        <v>29</v>
      </c>
      <c r="D5" s="5" t="s">
        <v>30</v>
      </c>
      <c r="E5" s="5" t="s">
        <v>31</v>
      </c>
      <c r="F5" s="5" t="s">
        <v>32</v>
      </c>
      <c r="G5" s="5" t="s">
        <v>33</v>
      </c>
      <c r="H5" s="5" t="s">
        <v>34</v>
      </c>
      <c r="I5" s="5" t="s">
        <v>35</v>
      </c>
      <c r="J5" s="5" t="s">
        <v>36</v>
      </c>
      <c r="K5" s="5" t="s">
        <v>18</v>
      </c>
    </row>
    <row r="6" customFormat="false" ht="15" hidden="false" customHeight="false" outlineLevel="0" collapsed="false">
      <c r="A6" s="6" t="s">
        <v>37</v>
      </c>
      <c r="B6" s="10" t="n">
        <v>71</v>
      </c>
      <c r="C6" s="10" t="n">
        <v>72</v>
      </c>
      <c r="D6" s="10" t="n">
        <v>73</v>
      </c>
      <c r="E6" s="10" t="n">
        <v>83</v>
      </c>
      <c r="F6" s="10" t="n">
        <v>83</v>
      </c>
      <c r="G6" s="10" t="n">
        <v>96</v>
      </c>
      <c r="H6" s="10" t="n">
        <v>97</v>
      </c>
      <c r="I6" s="7" t="n">
        <f aca="false">B6</f>
        <v>71</v>
      </c>
      <c r="J6" s="7" t="n">
        <f aca="false">LOOKUP(9.99E+307,B6:H6)</f>
        <v>97</v>
      </c>
      <c r="K6" s="11" t="n">
        <f aca="false">J6-I6</f>
        <v>26</v>
      </c>
    </row>
    <row r="7" customFormat="false" ht="15" hidden="false" customHeight="false" outlineLevel="0" collapsed="false">
      <c r="A7" s="6" t="s">
        <v>38</v>
      </c>
      <c r="B7" s="10" t="n">
        <v>58</v>
      </c>
      <c r="C7" s="10" t="n">
        <v>81</v>
      </c>
      <c r="D7" s="10" t="n">
        <v>81</v>
      </c>
      <c r="E7" s="10" t="n">
        <v>92</v>
      </c>
      <c r="F7" s="10" t="n">
        <v>94</v>
      </c>
      <c r="G7" s="10" t="n">
        <v>100</v>
      </c>
      <c r="H7" s="10" t="n">
        <v>94</v>
      </c>
      <c r="I7" s="7" t="n">
        <f aca="false">B7</f>
        <v>58</v>
      </c>
      <c r="J7" s="7" t="n">
        <f aca="false">LOOKUP(9.99E+307,B7:H7)</f>
        <v>94</v>
      </c>
      <c r="K7" s="11" t="n">
        <f aca="false">J7-I7</f>
        <v>36</v>
      </c>
    </row>
    <row r="8" customFormat="false" ht="15" hidden="false" customHeight="false" outlineLevel="0" collapsed="false">
      <c r="A8" s="6" t="s">
        <v>39</v>
      </c>
      <c r="B8" s="10" t="n">
        <v>70</v>
      </c>
      <c r="C8" s="10" t="n">
        <v>74</v>
      </c>
      <c r="D8" s="10" t="n">
        <v>70</v>
      </c>
      <c r="E8" s="10" t="n">
        <v>75</v>
      </c>
      <c r="F8" s="10" t="n">
        <v>75</v>
      </c>
      <c r="G8" s="10" t="n">
        <v>90</v>
      </c>
      <c r="H8" s="10" t="n">
        <v>79</v>
      </c>
      <c r="I8" s="7" t="n">
        <f aca="false">B8</f>
        <v>70</v>
      </c>
      <c r="J8" s="7" t="n">
        <f aca="false">LOOKUP(9.99E+307,B8:H8)</f>
        <v>79</v>
      </c>
      <c r="K8" s="11" t="n">
        <f aca="false">J8-I8</f>
        <v>9</v>
      </c>
    </row>
    <row r="9" customFormat="false" ht="15" hidden="false" customHeight="false" outlineLevel="0" collapsed="false">
      <c r="A9" s="6" t="s">
        <v>40</v>
      </c>
      <c r="B9" s="10" t="n">
        <v>69</v>
      </c>
      <c r="C9" s="10" t="n">
        <v>65</v>
      </c>
      <c r="D9" s="10" t="n">
        <v>71</v>
      </c>
      <c r="E9" s="10" t="n">
        <v>84</v>
      </c>
      <c r="F9" s="10" t="n">
        <v>75</v>
      </c>
      <c r="G9" s="10" t="n">
        <v>92</v>
      </c>
      <c r="H9" s="10" t="n">
        <v>86</v>
      </c>
      <c r="I9" s="7" t="n">
        <f aca="false">B9</f>
        <v>69</v>
      </c>
      <c r="J9" s="7" t="n">
        <f aca="false">LOOKUP(9.99E+307,B9:H9)</f>
        <v>86</v>
      </c>
      <c r="K9" s="11" t="n">
        <f aca="false">J9-I9</f>
        <v>17</v>
      </c>
    </row>
    <row r="10" customFormat="false" ht="15" hidden="false" customHeight="false" outlineLevel="0" collapsed="false">
      <c r="A10" s="12" t="s">
        <v>41</v>
      </c>
      <c r="B10" s="13" t="n">
        <f aca="false">IF(COUNT(B6:B9)=0,"",AVERAGE(B6:B9))</f>
        <v>67</v>
      </c>
      <c r="C10" s="13" t="n">
        <f aca="false">IF(COUNT(C6:C9)=0,"",AVERAGE(C6:C9))</f>
        <v>73</v>
      </c>
      <c r="D10" s="13" t="n">
        <f aca="false">IF(COUNT(D6:D9)=0,"",AVERAGE(D6:D9))</f>
        <v>73.75</v>
      </c>
      <c r="E10" s="13" t="n">
        <f aca="false">IF(COUNT(E6:E9)=0,"",AVERAGE(E6:E9))</f>
        <v>83.5</v>
      </c>
      <c r="F10" s="13" t="n">
        <f aca="false">IF(COUNT(F6:F9)=0,"",AVERAGE(F6:F9))</f>
        <v>81.75</v>
      </c>
      <c r="G10" s="13" t="n">
        <f aca="false">IF(COUNT(G6:G9)=0,"",AVERAGE(G6:G9))</f>
        <v>94.5</v>
      </c>
      <c r="H10" s="13" t="n">
        <f aca="false">IF(COUNT(H6:H9)=0,"",AVERAGE(H6:H9))</f>
        <v>89</v>
      </c>
      <c r="I10" s="13" t="n">
        <f aca="false">B10</f>
        <v>67</v>
      </c>
      <c r="J10" s="13" t="n">
        <f aca="false">LOOKUP(9.99E+307,B10:H10)</f>
        <v>89</v>
      </c>
      <c r="K10" s="14" t="n">
        <f aca="false">J10-I10</f>
        <v>22</v>
      </c>
    </row>
    <row r="12" customFormat="false" ht="15" hidden="false" customHeight="false" outlineLevel="0" collapsed="false">
      <c r="A12" s="4" t="s">
        <v>42</v>
      </c>
    </row>
    <row r="13" customFormat="false" ht="33.75" hidden="false" customHeight="true" outlineLevel="0" collapsed="false">
      <c r="A13" s="5" t="s">
        <v>27</v>
      </c>
      <c r="B13" s="5" t="s">
        <v>28</v>
      </c>
      <c r="C13" s="5" t="s">
        <v>29</v>
      </c>
      <c r="D13" s="5" t="s">
        <v>30</v>
      </c>
      <c r="E13" s="5" t="s">
        <v>31</v>
      </c>
      <c r="F13" s="5" t="s">
        <v>32</v>
      </c>
      <c r="G13" s="5" t="s">
        <v>33</v>
      </c>
      <c r="H13" s="5" t="s">
        <v>34</v>
      </c>
      <c r="I13" s="5" t="s">
        <v>35</v>
      </c>
      <c r="J13" s="5" t="s">
        <v>36</v>
      </c>
      <c r="K13" s="5" t="s">
        <v>18</v>
      </c>
    </row>
    <row r="14" customFormat="false" ht="15" hidden="false" customHeight="false" outlineLevel="0" collapsed="false">
      <c r="A14" s="6" t="s">
        <v>37</v>
      </c>
      <c r="B14" s="10" t="n">
        <v>17</v>
      </c>
      <c r="C14" s="10" t="n">
        <v>17</v>
      </c>
      <c r="D14" s="10" t="n">
        <v>16</v>
      </c>
      <c r="E14" s="10" t="n">
        <v>17</v>
      </c>
      <c r="F14" s="10" t="n">
        <v>17</v>
      </c>
      <c r="G14" s="10" t="n">
        <v>17</v>
      </c>
      <c r="H14" s="10" t="n">
        <v>17</v>
      </c>
      <c r="I14" s="7" t="n">
        <f aca="false">B14</f>
        <v>17</v>
      </c>
      <c r="J14" s="7" t="n">
        <f aca="false">LOOKUP(9.99E+307,B14:H14)</f>
        <v>17</v>
      </c>
      <c r="K14" s="11" t="n">
        <f aca="false">J14-I14</f>
        <v>0</v>
      </c>
    </row>
    <row r="15" customFormat="false" ht="15" hidden="false" customHeight="false" outlineLevel="0" collapsed="false">
      <c r="A15" s="6" t="s">
        <v>38</v>
      </c>
      <c r="B15" s="10" t="n">
        <v>15</v>
      </c>
      <c r="C15" s="10" t="n">
        <v>17</v>
      </c>
      <c r="D15" s="10" t="n">
        <v>17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B15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39</v>
      </c>
      <c r="B16" s="10" t="n">
        <v>16</v>
      </c>
      <c r="C16" s="10" t="n">
        <v>16</v>
      </c>
      <c r="D16" s="10" t="n">
        <v>17</v>
      </c>
      <c r="E16" s="10" t="n">
        <v>17</v>
      </c>
      <c r="F16" s="10" t="n">
        <v>17</v>
      </c>
      <c r="G16" s="10" t="n">
        <v>17</v>
      </c>
      <c r="H16" s="10" t="n">
        <v>17</v>
      </c>
      <c r="I16" s="7" t="n">
        <f aca="false">B16</f>
        <v>16</v>
      </c>
      <c r="J16" s="7" t="n">
        <f aca="false">LOOKUP(9.99E+307,B16:H16)</f>
        <v>17</v>
      </c>
      <c r="K16" s="11" t="n">
        <f aca="false">J16-I16</f>
        <v>1</v>
      </c>
    </row>
    <row r="17" customFormat="false" ht="15" hidden="false" customHeight="false" outlineLevel="0" collapsed="false">
      <c r="A17" s="6" t="s">
        <v>40</v>
      </c>
      <c r="B17" s="10" t="n">
        <v>17</v>
      </c>
      <c r="C17" s="10" t="n">
        <v>16</v>
      </c>
      <c r="D17" s="10" t="n">
        <v>16</v>
      </c>
      <c r="E17" s="10" t="n">
        <v>17</v>
      </c>
      <c r="F17" s="10" t="n">
        <v>17</v>
      </c>
      <c r="G17" s="10" t="n">
        <v>17</v>
      </c>
      <c r="H17" s="10" t="n">
        <v>17</v>
      </c>
      <c r="I17" s="7" t="n">
        <f aca="false">B17</f>
        <v>17</v>
      </c>
      <c r="J17" s="7" t="n">
        <f aca="false">LOOKUP(9.99E+307,B17:H17)</f>
        <v>17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41</v>
      </c>
      <c r="B18" s="13" t="n">
        <f aca="false">IF(COUNT(B14:B17)=0,"",AVERAGE(B14:B17))</f>
        <v>16.25</v>
      </c>
      <c r="C18" s="13" t="n">
        <f aca="false">IF(COUNT(C14:C17)=0,"",AVERAGE(C14:C17))</f>
        <v>16.5</v>
      </c>
      <c r="D18" s="13" t="n">
        <f aca="false">IF(COUNT(D14:D17)=0,"",AVERAGE(D14:D17))</f>
        <v>16.5</v>
      </c>
      <c r="E18" s="13" t="n">
        <f aca="false">IF(COUNT(E14:E17)=0,"",AVERAGE(E14:E17))</f>
        <v>17</v>
      </c>
      <c r="F18" s="13" t="n">
        <f aca="false">IF(COUNT(F14:F17)=0,"",AVERAGE(F14:F17))</f>
        <v>17</v>
      </c>
      <c r="G18" s="13" t="n">
        <f aca="false">IF(COUNT(G14:G17)=0,"",AVERAGE(G14:G17))</f>
        <v>17</v>
      </c>
      <c r="H18" s="13" t="n">
        <f aca="false">IF(COUNT(H14:H17)=0,"",AVERAGE(H14:H17))</f>
        <v>17</v>
      </c>
      <c r="I18" s="13" t="n">
        <f aca="false">B18</f>
        <v>16.25</v>
      </c>
      <c r="J18" s="13" t="n">
        <f aca="false">LOOKUP(9.99E+307,B18:H18)</f>
        <v>17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43</v>
      </c>
    </row>
    <row r="21" customFormat="false" ht="33.75" hidden="false" customHeight="true" outlineLevel="0" collapsed="false">
      <c r="A21" s="5" t="s">
        <v>27</v>
      </c>
      <c r="B21" s="5" t="s">
        <v>28</v>
      </c>
      <c r="C21" s="5" t="s">
        <v>29</v>
      </c>
      <c r="D21" s="5" t="s">
        <v>30</v>
      </c>
      <c r="E21" s="5" t="s">
        <v>31</v>
      </c>
      <c r="F21" s="5" t="s">
        <v>32</v>
      </c>
      <c r="G21" s="5" t="s">
        <v>33</v>
      </c>
      <c r="H21" s="5" t="s">
        <v>34</v>
      </c>
      <c r="I21" s="5" t="s">
        <v>35</v>
      </c>
      <c r="J21" s="5" t="s">
        <v>36</v>
      </c>
      <c r="K21" s="5" t="s">
        <v>18</v>
      </c>
    </row>
    <row r="22" customFormat="false" ht="15" hidden="false" customHeight="false" outlineLevel="0" collapsed="false">
      <c r="A22" s="6" t="s">
        <v>37</v>
      </c>
      <c r="B22" s="10" t="n">
        <v>16</v>
      </c>
      <c r="C22" s="10" t="n">
        <v>16</v>
      </c>
      <c r="D22" s="10" t="n">
        <v>18</v>
      </c>
      <c r="E22" s="10" t="n">
        <v>21</v>
      </c>
      <c r="F22" s="10" t="n">
        <v>21</v>
      </c>
      <c r="G22" s="10" t="n">
        <v>26</v>
      </c>
      <c r="H22" s="10" t="n">
        <v>27</v>
      </c>
      <c r="I22" s="7" t="n">
        <f aca="false">B22</f>
        <v>16</v>
      </c>
      <c r="J22" s="7" t="n">
        <f aca="false">LOOKUP(9.99E+307,B22:H22)</f>
        <v>27</v>
      </c>
      <c r="K22" s="11" t="n">
        <f aca="false">J22-I22</f>
        <v>11</v>
      </c>
    </row>
    <row r="23" customFormat="false" ht="15" hidden="false" customHeight="false" outlineLevel="0" collapsed="false">
      <c r="A23" s="6" t="s">
        <v>38</v>
      </c>
      <c r="B23" s="10" t="n">
        <v>12</v>
      </c>
      <c r="C23" s="10" t="n">
        <v>20</v>
      </c>
      <c r="D23" s="10" t="n">
        <v>21</v>
      </c>
      <c r="E23" s="10" t="n">
        <v>25</v>
      </c>
      <c r="F23" s="10" t="n">
        <v>26</v>
      </c>
      <c r="G23" s="10" t="n">
        <v>28</v>
      </c>
      <c r="H23" s="10" t="n">
        <v>26</v>
      </c>
      <c r="I23" s="7" t="n">
        <f aca="false">B23</f>
        <v>12</v>
      </c>
      <c r="J23" s="7" t="n">
        <f aca="false">LOOKUP(9.99E+307,B23:H23)</f>
        <v>26</v>
      </c>
      <c r="K23" s="11" t="n">
        <f aca="false">J23-I23</f>
        <v>14</v>
      </c>
    </row>
    <row r="24" customFormat="false" ht="15" hidden="false" customHeight="false" outlineLevel="0" collapsed="false">
      <c r="A24" s="6" t="s">
        <v>39</v>
      </c>
      <c r="B24" s="10" t="n">
        <v>16</v>
      </c>
      <c r="C24" s="10" t="n">
        <v>17</v>
      </c>
      <c r="D24" s="10" t="n">
        <v>16</v>
      </c>
      <c r="E24" s="10" t="n">
        <v>17</v>
      </c>
      <c r="F24" s="10" t="n">
        <v>18</v>
      </c>
      <c r="G24" s="10" t="n">
        <v>24</v>
      </c>
      <c r="H24" s="10" t="n">
        <v>20</v>
      </c>
      <c r="I24" s="7" t="n">
        <f aca="false">B24</f>
        <v>16</v>
      </c>
      <c r="J24" s="7" t="n">
        <f aca="false">LOOKUP(9.99E+307,B24:H24)</f>
        <v>20</v>
      </c>
      <c r="K24" s="11" t="n">
        <f aca="false">J24-I24</f>
        <v>4</v>
      </c>
    </row>
    <row r="25" customFormat="false" ht="15" hidden="false" customHeight="false" outlineLevel="0" collapsed="false">
      <c r="A25" s="6" t="s">
        <v>40</v>
      </c>
      <c r="B25" s="10" t="n">
        <v>15</v>
      </c>
      <c r="C25" s="10" t="n">
        <v>15</v>
      </c>
      <c r="D25" s="10" t="n">
        <v>17</v>
      </c>
      <c r="E25" s="10" t="n">
        <v>21</v>
      </c>
      <c r="F25" s="10" t="n">
        <v>18</v>
      </c>
      <c r="G25" s="10" t="n">
        <v>25</v>
      </c>
      <c r="H25" s="10" t="n">
        <v>22</v>
      </c>
      <c r="I25" s="7" t="n">
        <f aca="false">B25</f>
        <v>15</v>
      </c>
      <c r="J25" s="7" t="n">
        <f aca="false">LOOKUP(9.99E+307,B25:H25)</f>
        <v>22</v>
      </c>
      <c r="K25" s="11" t="n">
        <f aca="false">J25-I25</f>
        <v>7</v>
      </c>
    </row>
    <row r="26" customFormat="false" ht="15" hidden="false" customHeight="false" outlineLevel="0" collapsed="false">
      <c r="A26" s="12" t="s">
        <v>41</v>
      </c>
      <c r="B26" s="13" t="n">
        <f aca="false">IF(COUNT(B22:B25)=0,"",AVERAGE(B22:B25))</f>
        <v>14.75</v>
      </c>
      <c r="C26" s="13" t="n">
        <f aca="false">IF(COUNT(C22:C25)=0,"",AVERAGE(C22:C25))</f>
        <v>17</v>
      </c>
      <c r="D26" s="13" t="n">
        <f aca="false">IF(COUNT(D22:D25)=0,"",AVERAGE(D22:D25))</f>
        <v>18</v>
      </c>
      <c r="E26" s="13" t="n">
        <f aca="false">IF(COUNT(E22:E25)=0,"",AVERAGE(E22:E25))</f>
        <v>21</v>
      </c>
      <c r="F26" s="13" t="n">
        <f aca="false">IF(COUNT(F22:F25)=0,"",AVERAGE(F22:F25))</f>
        <v>20.75</v>
      </c>
      <c r="G26" s="13" t="n">
        <f aca="false">IF(COUNT(G22:G25)=0,"",AVERAGE(G22:G25))</f>
        <v>25.75</v>
      </c>
      <c r="H26" s="13" t="n">
        <f aca="false">IF(COUNT(H22:H25)=0,"",AVERAGE(H22:H25))</f>
        <v>23.75</v>
      </c>
      <c r="I26" s="13" t="n">
        <f aca="false">B26</f>
        <v>14.75</v>
      </c>
      <c r="J26" s="13" t="n">
        <f aca="false">LOOKUP(9.99E+307,B26:H26)</f>
        <v>23.75</v>
      </c>
      <c r="K26" s="14" t="n">
        <f aca="false">J26-I26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4" t="s">
        <v>26</v>
      </c>
    </row>
    <row r="5" customFormat="false" ht="33.75" hidden="false" customHeight="true" outlineLevel="0" collapsed="false">
      <c r="A5" s="5" t="s">
        <v>27</v>
      </c>
      <c r="B5" s="5" t="s">
        <v>46</v>
      </c>
      <c r="C5" s="5" t="s">
        <v>47</v>
      </c>
      <c r="D5" s="5" t="s">
        <v>48</v>
      </c>
      <c r="E5" s="5" t="s">
        <v>49</v>
      </c>
      <c r="F5" s="5" t="s">
        <v>35</v>
      </c>
      <c r="G5" s="5" t="s">
        <v>36</v>
      </c>
      <c r="H5" s="5" t="s">
        <v>18</v>
      </c>
    </row>
    <row r="6" customFormat="false" ht="15" hidden="false" customHeight="false" outlineLevel="0" collapsed="false">
      <c r="A6" s="6" t="s">
        <v>37</v>
      </c>
      <c r="B6" s="10" t="n">
        <v>89</v>
      </c>
      <c r="C6" s="10" t="n">
        <v>100</v>
      </c>
      <c r="D6" s="10" t="n">
        <v>95</v>
      </c>
      <c r="E6" s="10" t="n">
        <v>92</v>
      </c>
      <c r="F6" s="7" t="n">
        <f aca="false">B6</f>
        <v>89</v>
      </c>
      <c r="G6" s="7" t="n">
        <f aca="false">LOOKUP(9.99E+307,B6:E6)</f>
        <v>92</v>
      </c>
      <c r="H6" s="11" t="n">
        <f aca="false">G6-F6</f>
        <v>3</v>
      </c>
    </row>
    <row r="7" customFormat="false" ht="15" hidden="false" customHeight="false" outlineLevel="0" collapsed="false">
      <c r="A7" s="6" t="s">
        <v>38</v>
      </c>
      <c r="B7" s="10" t="n">
        <v>92</v>
      </c>
      <c r="C7" s="10" t="n">
        <v>84</v>
      </c>
      <c r="D7" s="10" t="n">
        <v>95</v>
      </c>
      <c r="E7" s="10" t="n">
        <v>95</v>
      </c>
      <c r="F7" s="7" t="n">
        <f aca="false">B7</f>
        <v>92</v>
      </c>
      <c r="G7" s="7" t="n">
        <f aca="false">LOOKUP(9.99E+307,B7:E7)</f>
        <v>95</v>
      </c>
      <c r="H7" s="11" t="n">
        <f aca="false">G7-F7</f>
        <v>3</v>
      </c>
    </row>
    <row r="8" customFormat="false" ht="15" hidden="false" customHeight="false" outlineLevel="0" collapsed="false">
      <c r="A8" s="6" t="s">
        <v>39</v>
      </c>
      <c r="B8" s="10" t="n">
        <v>94</v>
      </c>
      <c r="C8" s="10" t="n">
        <v>77</v>
      </c>
      <c r="D8" s="10" t="n">
        <v>89</v>
      </c>
      <c r="E8" s="10" t="n">
        <v>74</v>
      </c>
      <c r="F8" s="7" t="n">
        <f aca="false">B8</f>
        <v>94</v>
      </c>
      <c r="G8" s="7" t="n">
        <f aca="false">LOOKUP(9.99E+307,B8:E8)</f>
        <v>74</v>
      </c>
      <c r="H8" s="11" t="n">
        <f aca="false">G8-F8</f>
        <v>-20</v>
      </c>
    </row>
    <row r="9" customFormat="false" ht="15" hidden="false" customHeight="false" outlineLevel="0" collapsed="false">
      <c r="A9" s="6" t="s">
        <v>40</v>
      </c>
      <c r="B9" s="10" t="n">
        <v>69</v>
      </c>
      <c r="C9" s="10" t="n">
        <v>70</v>
      </c>
      <c r="D9" s="10" t="n">
        <v>89</v>
      </c>
      <c r="E9" s="10" t="n">
        <v>85</v>
      </c>
      <c r="F9" s="7" t="n">
        <f aca="false">B9</f>
        <v>69</v>
      </c>
      <c r="G9" s="7" t="n">
        <f aca="false">LOOKUP(9.99E+307,B9:E9)</f>
        <v>85</v>
      </c>
      <c r="H9" s="11" t="n">
        <f aca="false">G9-F9</f>
        <v>16</v>
      </c>
    </row>
    <row r="10" customFormat="false" ht="15" hidden="false" customHeight="false" outlineLevel="0" collapsed="false">
      <c r="A10" s="12" t="s">
        <v>41</v>
      </c>
      <c r="B10" s="13" t="n">
        <f aca="false">IF(COUNT(B6:B9)=0,"",AVERAGE(B6:B9))</f>
        <v>86</v>
      </c>
      <c r="C10" s="13" t="n">
        <f aca="false">IF(COUNT(C6:C9)=0,"",AVERAGE(C6:C9))</f>
        <v>82.75</v>
      </c>
      <c r="D10" s="13" t="n">
        <f aca="false">IF(COUNT(D6:D9)=0,"",AVERAGE(D6:D9))</f>
        <v>92</v>
      </c>
      <c r="E10" s="13" t="n">
        <f aca="false">IF(COUNT(E6:E9)=0,"",AVERAGE(E6:E9))</f>
        <v>86.5</v>
      </c>
      <c r="F10" s="13" t="n">
        <f aca="false">B10</f>
        <v>86</v>
      </c>
      <c r="G10" s="13" t="n">
        <f aca="false">LOOKUP(9.99E+307,B10:E10)</f>
        <v>86.5</v>
      </c>
      <c r="H10" s="14" t="n">
        <f aca="false">G10-F10</f>
        <v>0.5</v>
      </c>
    </row>
    <row r="12" customFormat="false" ht="15" hidden="false" customHeight="false" outlineLevel="0" collapsed="false">
      <c r="A12" s="4" t="s">
        <v>42</v>
      </c>
    </row>
    <row r="13" customFormat="false" ht="33.75" hidden="false" customHeight="true" outlineLevel="0" collapsed="false">
      <c r="A13" s="5" t="s">
        <v>27</v>
      </c>
      <c r="B13" s="5" t="s">
        <v>46</v>
      </c>
      <c r="C13" s="5" t="s">
        <v>47</v>
      </c>
      <c r="D13" s="5" t="s">
        <v>48</v>
      </c>
      <c r="E13" s="5" t="s">
        <v>49</v>
      </c>
      <c r="F13" s="5" t="s">
        <v>35</v>
      </c>
      <c r="G13" s="5" t="s">
        <v>36</v>
      </c>
      <c r="H13" s="5" t="s">
        <v>18</v>
      </c>
    </row>
    <row r="14" customFormat="false" ht="15" hidden="false" customHeight="false" outlineLevel="0" collapsed="false">
      <c r="A14" s="6" t="s">
        <v>37</v>
      </c>
      <c r="B14" s="10" t="n">
        <v>16</v>
      </c>
      <c r="C14" s="10" t="n">
        <v>17</v>
      </c>
      <c r="D14" s="10" t="n">
        <v>17</v>
      </c>
      <c r="E14" s="10" t="n">
        <v>16</v>
      </c>
      <c r="F14" s="7" t="n">
        <f aca="false">B14</f>
        <v>16</v>
      </c>
      <c r="G14" s="7" t="n">
        <f aca="false">LOOKUP(9.99E+307,B14:E14)</f>
        <v>16</v>
      </c>
      <c r="H14" s="11" t="n">
        <f aca="false">G14-F14</f>
        <v>0</v>
      </c>
    </row>
    <row r="15" customFormat="false" ht="15" hidden="false" customHeight="false" outlineLevel="0" collapsed="false">
      <c r="A15" s="6" t="s">
        <v>38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39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40</v>
      </c>
      <c r="B17" s="10" t="n">
        <v>16</v>
      </c>
      <c r="C17" s="10" t="n">
        <v>15</v>
      </c>
      <c r="D17" s="10" t="n">
        <v>17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41</v>
      </c>
      <c r="B18" s="13" t="n">
        <f aca="false">IF(COUNT(B14:B17)=0,"",AVERAGE(B14:B17))</f>
        <v>16.5</v>
      </c>
      <c r="C18" s="13" t="n">
        <f aca="false">IF(COUNT(C14:C17)=0,"",AVERAGE(C14:C17))</f>
        <v>16.5</v>
      </c>
      <c r="D18" s="13" t="n">
        <f aca="false">IF(COUNT(D14:D17)=0,"",AVERAGE(D14:D17))</f>
        <v>17</v>
      </c>
      <c r="E18" s="13" t="n">
        <f aca="false">IF(COUNT(E14:E17)=0,"",AVERAGE(E14:E17))</f>
        <v>16.5</v>
      </c>
      <c r="F18" s="13" t="n">
        <f aca="false">B18</f>
        <v>16.5</v>
      </c>
      <c r="G18" s="13" t="n">
        <f aca="false">LOOKUP(9.99E+307,B18:E18)</f>
        <v>16.5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43</v>
      </c>
    </row>
    <row r="21" customFormat="false" ht="33.75" hidden="false" customHeight="true" outlineLevel="0" collapsed="false">
      <c r="A21" s="5" t="s">
        <v>27</v>
      </c>
      <c r="B21" s="5" t="s">
        <v>46</v>
      </c>
      <c r="C21" s="5" t="s">
        <v>47</v>
      </c>
      <c r="D21" s="5" t="s">
        <v>48</v>
      </c>
      <c r="E21" s="5" t="s">
        <v>49</v>
      </c>
      <c r="F21" s="5" t="s">
        <v>35</v>
      </c>
      <c r="G21" s="5" t="s">
        <v>36</v>
      </c>
      <c r="H21" s="5" t="s">
        <v>18</v>
      </c>
    </row>
    <row r="22" customFormat="false" ht="15" hidden="false" customHeight="false" outlineLevel="0" collapsed="false">
      <c r="A22" s="6" t="s">
        <v>37</v>
      </c>
      <c r="B22" s="10" t="n">
        <v>25</v>
      </c>
      <c r="C22" s="10" t="n">
        <v>28</v>
      </c>
      <c r="D22" s="10" t="n">
        <v>26</v>
      </c>
      <c r="E22" s="10" t="n">
        <v>26</v>
      </c>
      <c r="F22" s="7" t="n">
        <f aca="false">B22</f>
        <v>25</v>
      </c>
      <c r="G22" s="7" t="n">
        <f aca="false">LOOKUP(9.99E+307,B22:E22)</f>
        <v>26</v>
      </c>
      <c r="H22" s="11" t="n">
        <f aca="false">G22-F22</f>
        <v>1</v>
      </c>
    </row>
    <row r="23" customFormat="false" ht="15" hidden="false" customHeight="false" outlineLevel="0" collapsed="false">
      <c r="A23" s="6" t="s">
        <v>38</v>
      </c>
      <c r="B23" s="10" t="n">
        <v>25</v>
      </c>
      <c r="C23" s="10" t="n">
        <v>22</v>
      </c>
      <c r="D23" s="10" t="n">
        <v>26</v>
      </c>
      <c r="E23" s="10" t="n">
        <v>26</v>
      </c>
      <c r="F23" s="7" t="n">
        <f aca="false">B23</f>
        <v>25</v>
      </c>
      <c r="G23" s="7" t="n">
        <f aca="false">LOOKUP(9.99E+307,B23:E23)</f>
        <v>26</v>
      </c>
      <c r="H23" s="11" t="n">
        <f aca="false">G23-F23</f>
        <v>1</v>
      </c>
    </row>
    <row r="24" customFormat="false" ht="15" hidden="false" customHeight="false" outlineLevel="0" collapsed="false">
      <c r="A24" s="6" t="s">
        <v>39</v>
      </c>
      <c r="B24" s="10" t="n">
        <v>26</v>
      </c>
      <c r="C24" s="10" t="n">
        <v>19</v>
      </c>
      <c r="D24" s="10" t="n">
        <v>23</v>
      </c>
      <c r="E24" s="10" t="n">
        <v>17</v>
      </c>
      <c r="F24" s="7" t="n">
        <f aca="false">B24</f>
        <v>26</v>
      </c>
      <c r="G24" s="7" t="n">
        <f aca="false">LOOKUP(9.99E+307,B24:E24)</f>
        <v>17</v>
      </c>
      <c r="H24" s="11" t="n">
        <f aca="false">G24-F24</f>
        <v>-9</v>
      </c>
    </row>
    <row r="25" customFormat="false" ht="15" hidden="false" customHeight="false" outlineLevel="0" collapsed="false">
      <c r="A25" s="6" t="s">
        <v>40</v>
      </c>
      <c r="B25" s="10" t="n">
        <v>17</v>
      </c>
      <c r="C25" s="10" t="n">
        <v>18</v>
      </c>
      <c r="D25" s="10" t="n">
        <v>24</v>
      </c>
      <c r="E25" s="10" t="n">
        <v>23</v>
      </c>
      <c r="F25" s="7" t="n">
        <f aca="false">B25</f>
        <v>17</v>
      </c>
      <c r="G25" s="7" t="n">
        <f aca="false">LOOKUP(9.99E+307,B25:E25)</f>
        <v>23</v>
      </c>
      <c r="H25" s="11" t="n">
        <f aca="false">G25-F25</f>
        <v>6</v>
      </c>
    </row>
    <row r="26" customFormat="false" ht="15" hidden="false" customHeight="false" outlineLevel="0" collapsed="false">
      <c r="A26" s="12" t="s">
        <v>41</v>
      </c>
      <c r="B26" s="13" t="n">
        <f aca="false">IF(COUNT(B22:B25)=0,"",AVERAGE(B22:B25))</f>
        <v>23.25</v>
      </c>
      <c r="C26" s="13" t="n">
        <f aca="false">IF(COUNT(C22:C25)=0,"",AVERAGE(C22:C25))</f>
        <v>21.75</v>
      </c>
      <c r="D26" s="13" t="n">
        <f aca="false">IF(COUNT(D22:D25)=0,"",AVERAGE(D22:D25))</f>
        <v>24.75</v>
      </c>
      <c r="E26" s="13" t="n">
        <f aca="false">IF(COUNT(E22:E25)=0,"",AVERAGE(E22:E25))</f>
        <v>23</v>
      </c>
      <c r="F26" s="13" t="n">
        <f aca="false">B26</f>
        <v>23.25</v>
      </c>
      <c r="G26" s="13" t="n">
        <f aca="false">LOOKUP(9.99E+307,B26:E26)</f>
        <v>23</v>
      </c>
      <c r="H26" s="14" t="n">
        <f aca="false">G26-F26</f>
        <v>-0.25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2026-10-27T11:19:49Z</dcterms:created>
  <dc:creator>openpyxl</dc:creator>
  <dc:description/>
  <dc:language>en-US</dc:language>
  <cp:lastModifiedBy/>
  <dcterms:modified xsi:type="dcterms:W3CDTF">2026-10-27T11:19:53Z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