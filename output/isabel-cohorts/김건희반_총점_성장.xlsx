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·수능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<sst xmlns="http://schemas.openxmlformats.org/spreadsheetml/2006/main" count="85" uniqueCount="55">
  <si>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</si>
  <si>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1 77.1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2 82.9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3+</t>
    </r>
    <r>
      <rPr>
        <sz val="11"/>
        <rFont val="WenQuanYi Zen Hei"/>
        <family val="2"/>
      </rPr>
      <t xml:space="preserve">수능 </t>
    </r>
    <r>
      <rPr>
        <sz val="11"/>
        <rFont val="Arial"/>
        <family val="0"/>
        <charset val="1"/>
      </rPr>
      <t xml:space="preserve">86.3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</si>
  <si>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+23.5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</si>
  <si>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김건희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안도후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안동휘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</si>
  <si>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나민하</t>
    </r>
    <r>
      <rPr>
        <sz val="11"/>
        <rFont val="Arial"/>
        <family val="0"/>
        <charset val="1"/>
      </rPr>
      <t xml:space="preserve">(74.9 → 83.3 → 74.0)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</si>
  <si>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</si>
  <si>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</si>
  <si>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</si>
  <si>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</si>
  <si>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</si>
  <si>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수능
평균</t>
    </r>
  </si>
  <si>
    <t xml:space="preserve">첫 시험 →
마지막 그룹 평균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</si>
  <si>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</si>
  <si>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</si>
  <si>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</si>
  <si>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</si>
  <si>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</si>
  <si>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</si>
  <si>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</si>
  <si>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</si>
  <si>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91.3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(+28.5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</si>
  <si>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</si>
  <si>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</si>
  <si>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없어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 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 </t>
    </r>
    <r>
      <rPr>
        <sz val="11"/>
        <rFont val="WenQuanYi Zen Hei"/>
        <family val="2"/>
      </rPr>
      <t xml:space="preserve">표기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</si>
  <si>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</si>
  <si>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</si>
  <si>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</si>
  <si>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</si>
  <si>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</si>
  <si>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</si>
  <si>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</si>
  <si>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</si>
  <si>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</si>
  <si>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</si>
  <si>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</si>
  <si>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</si>
  <si>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</si>
  <si>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</si>
  <si>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</si>
  <si>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83.3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84.3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</si>
  <si>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</si>
  <si>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</si>
  <si>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고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보다 어렵지만 첫 시험부터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등급이었고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번 내내 반 평균 </t>
    </r>
    <r>
      <rPr>
        <sz val="11"/>
        <rFont val="Arial"/>
        <family val="0"/>
        <charset val="1"/>
      </rPr>
      <t xml:space="preserve">81</t>
    </r>
    <r>
      <rPr>
        <sz val="11"/>
        <rFont val="WenQuanYi Zen Hei"/>
        <family val="2"/>
      </rPr>
      <t xml:space="preserve">점 이상을 유지했습니다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</si>
  <si>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</si>
  <si>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</si>
  <si>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</si>
  <si>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</si>
  <si>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+</t>
    </r>
    <r>
      <rPr>
        <b val="true"/>
        <sz val="14"/>
        <rFont val="WenQuanYi Zen Hei"/>
        <family val="2"/>
      </rPr>
      <t xml:space="preserve">수능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</si>
  <si>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수능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</si>
  <si>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85.3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87.7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(+2.4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</si>
  <si>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</si>
  <si>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김건희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</si>
  <si>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모의고사와 실제 수능 문제에서도 반 평균이 올랐습니다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나민하는 수능 날이 기말고사 기간이라 응시하지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</si>
  <si>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</si>
  <si>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수능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</si>
</sst>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요약'!$B$9:$E$9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모의고사+수능
평균</c:v>
                </c:pt>
              </c:strCache>
            </c:strRef>
          </c:cat>
          <c:val>
            <c:numRef>
              <c:f>'총점 성장 요약'!$B$14:$E$14</c:f>
              <c:numCache>
                <c:formatCode>0.0</c:formatCode>
                <c:ptCount val="4"/>
                <c:pt idx="0">
                  <c:v>62.75</c:v>
                </c:pt>
                <c:pt idx="1">
                  <c:v>77.0714285714286</c:v>
                </c:pt>
                <c:pt idx="2">
                  <c:v>82.9375</c:v>
                </c:pt>
                <c:pt idx="3">
                  <c:v>86.2857142857143</c:v>
                </c:pt>
              </c:numCache>
            </c:numRef>
          </c:val>
        </c:ser>
        <c:gapWidth val="150"/>
        <c:overlap val="0"/>
        <c:axId val="36701171"/>
        <c:axId val="45962695"/>
      </c:barChart>
      <c:catAx>
        <c:axId val="367011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62695"/>
        <c:crosses val="autoZero"/>
        <c:auto val="1"/>
        <c:lblAlgn val="ctr"/>
        <c:lblOffset val="100"/>
        <c:noMultiLvlLbl val="0"/>
      </c:catAx>
      <c:valAx>
        <c:axId val="4596269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011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요약'!$B$10:$B$13</c:f>
              <c:numCache>
                <c:formatCode>0</c:formatCode>
                <c:ptCount val="4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요약'!$C$10:$C$13</c:f>
              <c:numCache>
                <c:formatCode>0.0</c:formatCode>
                <c:ptCount val="4"/>
                <c:pt idx="0">
                  <c:v>80</c:v>
                </c:pt>
                <c:pt idx="1">
                  <c:v>78</c:v>
                </c:pt>
                <c:pt idx="2">
                  <c:v>75.4285714285714</c:v>
                </c:pt>
                <c:pt idx="3">
                  <c:v>74.8571428571429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요약'!$D$10:$D$13</c:f>
              <c:numCache>
                <c:formatCode>0.0</c:formatCode>
                <c:ptCount val="4"/>
                <c:pt idx="0">
                  <c:v>84.25</c:v>
                </c:pt>
                <c:pt idx="1">
                  <c:v>79.5</c:v>
                </c:pt>
                <c:pt idx="2">
                  <c:v>84.75</c:v>
                </c:pt>
                <c:pt idx="3">
                  <c:v>83.25</c:v>
                </c:pt>
              </c:numCache>
            </c:numRef>
          </c:val>
        </c:ser>
        <c:ser>
          <c:idx val="3"/>
          <c:order val="3"/>
          <c:tx>
            <c:strRef>
              <c:f>'총점 성장 요약'!E9</c:f>
              <c:strCache>
                <c:ptCount val="1"/>
                <c:pt idx="0">
                  <c:v>고3 모의고사+수능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요약'!$E$10:$E$13</c:f>
              <c:numCache>
                <c:formatCode>0.0</c:formatCode>
                <c:ptCount val="4"/>
                <c:pt idx="0">
                  <c:v>87</c:v>
                </c:pt>
                <c:pt idx="1">
                  <c:v>88</c:v>
                </c:pt>
                <c:pt idx="2">
                  <c:v>90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71626810"/>
        <c:axId val="77567963"/>
      </c:barChart>
      <c:catAx>
        <c:axId val="71626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67963"/>
        <c:crosses val="autoZero"/>
        <c:auto val="1"/>
        <c:lblAlgn val="ctr"/>
        <c:lblOffset val="100"/>
        <c:noMultiLvlLbl val="0"/>
      </c:catAx>
      <c:valAx>
        <c:axId val="77567963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268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모의고사'!$B$13:$H$13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모의고사'!$B$14:$H$14</c:f>
              <c:numCache>
                <c:formatCode>0.0</c:formatCode>
                <c:ptCount val="7"/>
                <c:pt idx="0">
                  <c:v>62.75</c:v>
                </c:pt>
                <c:pt idx="1">
                  <c:v>73.25</c:v>
                </c:pt>
                <c:pt idx="2">
                  <c:v>74.75</c:v>
                </c:pt>
                <c:pt idx="3">
                  <c:v>80</c:v>
                </c:pt>
                <c:pt idx="4">
                  <c:v>78.5</c:v>
                </c:pt>
                <c:pt idx="5">
                  <c:v>79</c:v>
                </c:pt>
                <c:pt idx="6">
                  <c:v>91.25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461680"/>
        <c:axId val="51414697"/>
      </c:lineChart>
      <c:catAx>
        <c:axId val="5046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14697"/>
        <c:crosses val="autoZero"/>
        <c:auto val="1"/>
        <c:lblAlgn val="ctr"/>
        <c:lblOffset val="100"/>
        <c:noMultiLvlLbl val="0"/>
      </c:catAx>
      <c:valAx>
        <c:axId val="5141469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61680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모의고사'!$I$10:$I$14</c:f>
              <c:numCache>
                <c:formatCode>General</c:formatCode>
                <c:ptCount val="5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  <c:pt idx="4">
                  <c:v>62.75</c:v>
                </c:pt>
              </c:numCache>
            </c:numRef>
          </c:val>
        </c:ser>
        <c:ser>
          <c:idx val="1"/>
          <c:order val="1"/>
          <c:tx>
            <c:strRef>
              <c:f>'고1 모의고사'!J9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모의고사'!$J$10:$J$14</c:f>
              <c:numCache>
                <c:formatCode>General</c:formatCode>
                <c:ptCount val="5"/>
                <c:pt idx="0">
                  <c:v>95</c:v>
                </c:pt>
                <c:pt idx="1">
                  <c:v>93</c:v>
                </c:pt>
                <c:pt idx="2">
                  <c:v>90</c:v>
                </c:pt>
                <c:pt idx="3">
                  <c:v>87</c:v>
                </c:pt>
                <c:pt idx="4">
                  <c:v>91.25</c:v>
                </c:pt>
              </c:numCache>
            </c:numRef>
          </c:val>
        </c:ser>
        <c:gapWidth val="150"/>
        <c:overlap val="0"/>
        <c:axId val="64459604"/>
        <c:axId val="83106148"/>
      </c:barChart>
      <c:catAx>
        <c:axId val="644596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06148"/>
        <c:crosses val="autoZero"/>
        <c:auto val="1"/>
        <c:lblAlgn val="ctr"/>
        <c:lblOffset val="100"/>
        <c:noMultiLvlLbl val="0"/>
      </c:catAx>
      <c:valAx>
        <c:axId val="8310614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596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83.25</c:v>
                </c:pt>
                <c:pt idx="1">
                  <c:v>83.25</c:v>
                </c:pt>
                <c:pt idx="2">
                  <c:v>81</c:v>
                </c:pt>
                <c:pt idx="3">
                  <c:v>84.25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735505"/>
        <c:axId val="58305389"/>
      </c:lineChart>
      <c:catAx>
        <c:axId val="43735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05389"/>
        <c:crosses val="autoZero"/>
        <c:auto val="1"/>
        <c:lblAlgn val="ctr"/>
        <c:lblOffset val="100"/>
        <c:noMultiLvlLbl val="0"/>
      </c:catAx>
      <c:valAx>
        <c:axId val="5830538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35505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87</c:v>
                </c:pt>
                <c:pt idx="1">
                  <c:v>82</c:v>
                </c:pt>
                <c:pt idx="2">
                  <c:v>80</c:v>
                </c:pt>
                <c:pt idx="3">
                  <c:v>84</c:v>
                </c:pt>
                <c:pt idx="4">
                  <c:v>83.25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84</c:v>
                </c:pt>
                <c:pt idx="1">
                  <c:v>80</c:v>
                </c:pt>
                <c:pt idx="2">
                  <c:v>87</c:v>
                </c:pt>
                <c:pt idx="3">
                  <c:v>86</c:v>
                </c:pt>
                <c:pt idx="4">
                  <c:v>84.25</c:v>
                </c:pt>
              </c:numCache>
            </c:numRef>
          </c:val>
        </c:ser>
        <c:gapWidth val="150"/>
        <c:overlap val="0"/>
        <c:axId val="26602575"/>
        <c:axId val="45559141"/>
      </c:barChart>
      <c:catAx>
        <c:axId val="2660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59141"/>
        <c:crosses val="autoZero"/>
        <c:auto val="1"/>
        <c:lblAlgn val="ctr"/>
        <c:lblOffset val="100"/>
        <c:noMultiLvlLbl val="0"/>
      </c:catAx>
      <c:valAx>
        <c:axId val="4555914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025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모의고사·수능'!A10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모의고사·수능'!$B$10:$C$10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모의고사·수능'!A11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모의고사·수능'!$B$11:$C$11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모의고사·수능'!A12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모의고사·수능'!$B$12:$C$12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모의고사·수능'!A13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모의고사·수능'!$B$13:$C$13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모의고사·수능'!A14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모의고사·수능'!$B$14:$C$14</c:f>
              <c:numCache>
                <c:formatCode>0.0</c:formatCode>
                <c:ptCount val="2"/>
                <c:pt idx="0">
                  <c:v>85.25</c:v>
                </c:pt>
                <c:pt idx="1">
                  <c:v>87.6666666666667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535024"/>
        <c:axId val="36051788"/>
      </c:lineChart>
      <c:catAx>
        <c:axId val="5853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51788"/>
        <c:crosses val="autoZero"/>
        <c:auto val="1"/>
        <c:lblAlgn val="ctr"/>
        <c:lblOffset val="100"/>
        <c:noMultiLvlLbl val="0"/>
      </c:catAx>
      <c:valAx>
        <c:axId val="36051788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3502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'고3 모의고사·수능'!D9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모의고사·수능'!$D$10:$D$14</c:f>
              <c:numCache>
                <c:formatCode>General</c:formatCode>
                <c:ptCount val="5"/>
                <c:pt idx="0">
                  <c:v>86</c:v>
                </c:pt>
                <c:pt idx="1">
                  <c:v>88</c:v>
                </c:pt>
                <c:pt idx="2">
                  <c:v>93</c:v>
                </c:pt>
                <c:pt idx="3">
                  <c:v>74</c:v>
                </c:pt>
                <c:pt idx="4">
                  <c:v>85.25</c:v>
                </c:pt>
              </c:numCache>
            </c:numRef>
          </c:val>
        </c:ser>
        <c:ser>
          <c:idx val="1"/>
          <c:order val="1"/>
          <c:tx>
            <c:strRef>
              <c:f>'고3 모의고사·수능'!E9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모의고사·수능'!$E$10:$E$14</c:f>
              <c:numCache>
                <c:formatCode>General</c:formatCode>
                <c:ptCount val="5"/>
                <c:pt idx="0">
                  <c:v>88</c:v>
                </c:pt>
                <c:pt idx="1">
                  <c:v>88</c:v>
                </c:pt>
                <c:pt idx="2">
                  <c:v>87</c:v>
                </c:pt>
                <c:pt idx="3">
                  <c:v>74</c:v>
                </c:pt>
                <c:pt idx="4">
                  <c:v>87.6666666666667</c:v>
                </c:pt>
              </c:numCache>
            </c:numRef>
          </c:val>
        </c:ser>
        <c:gapWidth val="150"/>
        <c:overlap val="0"/>
        <c:axId val="16332294"/>
        <c:axId val="64798282"/>
      </c:barChart>
      <c:catAx>
        <c:axId val="163322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98282"/>
        <c:crosses val="autoZero"/>
        <c:auto val="1"/>
        <c:lblAlgn val="ctr"/>
        <c:lblOffset val="100"/>
        <c:noMultiLvlLbl val="0"/>
      </c:catAx>
      <c:valAx>
        <c:axId val="64798282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322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4</xdr:col>
      <xdr:colOff>1022040</xdr:colOff>
      <xdr:row>32</xdr:row>
      <xdr:rowOff>135720</xdr:rowOff>
    </xdr:to>
    <xdr:graphicFrame>
      <xdr:nvGraphicFramePr>
        <xdr:cNvPr id="0" name="Chart 1"/>
        <xdr:cNvGraphicFramePr/>
      </xdr:nvGraphicFramePr>
      <xdr:xfrm>
        <a:off x="0" y="34765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5</xdr:col>
      <xdr:colOff>1193400</xdr:colOff>
      <xdr:row>52</xdr:row>
      <xdr:rowOff>135720</xdr:rowOff>
    </xdr:to>
    <xdr:graphicFrame>
      <xdr:nvGraphicFramePr>
        <xdr:cNvPr id="1" name="Chart 2"/>
        <xdr:cNvGraphicFramePr/>
      </xdr:nvGraphicFramePr>
      <xdr:xfrm>
        <a:off x="0" y="72867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7</xdr:col>
      <xdr:colOff>208080</xdr:colOff>
      <xdr:row>32</xdr:row>
      <xdr:rowOff>135720</xdr:rowOff>
    </xdr:to>
    <xdr:graphicFrame>
      <xdr:nvGraphicFramePr>
        <xdr:cNvPr id="2" name="Chart 1"/>
        <xdr:cNvGraphicFramePr/>
      </xdr:nvGraphicFramePr>
      <xdr:xfrm>
        <a:off x="0" y="37051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3" name="Chart 2"/>
        <xdr:cNvGraphicFramePr/>
      </xdr:nvGraphicFramePr>
      <xdr:xfrm>
        <a:off x="0" y="751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6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7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  <c r="F9" s="3" t="s">
        <v>11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69</v>
      </c>
      <c r="C10" s="6" t="n">
        <f aca="false">'고1 모의고사'!L10</f>
        <v>80</v>
      </c>
      <c r="D10" s="6" t="n">
        <f aca="false">'고2 모의고사'!I10</f>
        <v>84.25</v>
      </c>
      <c r="E10" s="6" t="n">
        <f aca="false">'고3 모의고사·수능'!G10</f>
        <v>87</v>
      </c>
      <c r="F10" s="7" t="n">
        <f aca="false">E10-B10</f>
        <v>18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67</v>
      </c>
      <c r="C11" s="6" t="n">
        <f aca="false">'고1 모의고사'!L11</f>
        <v>78</v>
      </c>
      <c r="D11" s="6" t="n">
        <f aca="false">'고2 모의고사'!I11</f>
        <v>79.5</v>
      </c>
      <c r="E11" s="6" t="n">
        <f aca="false">'고3 모의고사·수능'!G11</f>
        <v>88</v>
      </c>
      <c r="F11" s="7" t="n">
        <f aca="false">E11-B11</f>
        <v>21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58</v>
      </c>
      <c r="C12" s="6" t="n">
        <f aca="false">'고1 모의고사'!L12</f>
        <v>75.4285714285714</v>
      </c>
      <c r="D12" s="6" t="n">
        <f aca="false">'고2 모의고사'!I12</f>
        <v>84.75</v>
      </c>
      <c r="E12" s="6" t="n">
        <f aca="false">'고3 모의고사·수능'!G12</f>
        <v>90</v>
      </c>
      <c r="F12" s="7" t="n">
        <f aca="false">E12-B12</f>
        <v>32</v>
      </c>
    </row>
    <row r="13" customFormat="false" ht="15" hidden="false" customHeight="false" outlineLevel="0" collapsed="false">
      <c r="A13" s="4" t="s">
        <v>15</v>
      </c>
      <c r="B13" s="5" t="n">
        <f aca="false">'고1 모의고사'!B13</f>
        <v>57</v>
      </c>
      <c r="C13" s="6" t="n">
        <f aca="false">'고1 모의고사'!L13</f>
        <v>74.8571428571429</v>
      </c>
      <c r="D13" s="6" t="n">
        <f aca="false">'고2 모의고사'!I13</f>
        <v>83.25</v>
      </c>
      <c r="E13" s="6" t="n">
        <f aca="false">'고3 모의고사·수능'!G13</f>
        <v>74</v>
      </c>
      <c r="F13" s="7" t="n">
        <f aca="false">E13-B13</f>
        <v>17</v>
      </c>
    </row>
    <row r="14" customFormat="false" ht="15" hidden="false" customHeight="false" outlineLevel="0" collapsed="false">
      <c r="A14" s="8" t="s">
        <v>16</v>
      </c>
      <c r="B14" s="9" t="n">
        <f aca="false">'고1 모의고사'!B14</f>
        <v>62.75</v>
      </c>
      <c r="C14" s="9" t="n">
        <f aca="false">'고1 모의고사'!L14</f>
        <v>77.0714285714286</v>
      </c>
      <c r="D14" s="9" t="n">
        <f aca="false">'고2 모의고사'!I14</f>
        <v>82.9375</v>
      </c>
      <c r="E14" s="9" t="n">
        <f aca="false">'고3 모의고사·수능'!G14</f>
        <v>86.2857142857143</v>
      </c>
      <c r="F14" s="10" t="n">
        <f aca="false">E14-B14</f>
        <v>23.5357142857143</v>
      </c>
    </row>
    <row r="16" customFormat="false" ht="15" hidden="false" customHeight="false" outlineLevel="0" collapsed="false">
      <c r="A16" s="11" t="s">
        <v>17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18</v>
      </c>
    </row>
    <row r="3" customFormat="false" ht="36" hidden="false" customHeight="true" outlineLevel="0" collapsed="false">
      <c r="A3" s="2" t="s">
        <v>19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20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8" hidden="false" customHeight="true" outlineLevel="0" collapsed="false">
      <c r="A7" s="2" t="s">
        <v>23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9" customFormat="false" ht="33.75" hidden="false" customHeight="true" outlineLevel="0" collapsed="false">
      <c r="A9" s="3" t="s">
        <v>6</v>
      </c>
      <c r="B9" s="3" t="s">
        <v>24</v>
      </c>
      <c r="C9" s="3" t="s">
        <v>25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 t="s">
        <v>31</v>
      </c>
      <c r="J9" s="3" t="s">
        <v>32</v>
      </c>
      <c r="K9" s="3" t="s">
        <v>33</v>
      </c>
      <c r="L9" s="3" t="s">
        <v>34</v>
      </c>
      <c r="M9" s="3" t="s">
        <v>35</v>
      </c>
    </row>
    <row r="10" customFormat="false" ht="15" hidden="false" customHeight="false" outlineLevel="0" collapsed="false">
      <c r="A10" s="4" t="s">
        <v>12</v>
      </c>
      <c r="B10" s="12" t="n">
        <v>69</v>
      </c>
      <c r="C10" s="12" t="n">
        <v>75</v>
      </c>
      <c r="D10" s="12" t="n">
        <v>76</v>
      </c>
      <c r="E10" s="12" t="n">
        <v>90</v>
      </c>
      <c r="F10" s="12" t="n">
        <v>73</v>
      </c>
      <c r="G10" s="12" t="n">
        <v>82</v>
      </c>
      <c r="H10" s="12" t="n">
        <v>95</v>
      </c>
      <c r="I10" s="13" t="n">
        <f aca="false">B10</f>
        <v>69</v>
      </c>
      <c r="J10" s="13" t="n">
        <f aca="false">LOOKUP(9.99E+307,B10:H10)</f>
        <v>95</v>
      </c>
      <c r="K10" s="14" t="n">
        <f aca="false">J10-I10</f>
        <v>26</v>
      </c>
      <c r="L10" s="15" t="n">
        <f aca="false">AVERAGE(B10:H10)</f>
        <v>80</v>
      </c>
      <c r="M10" s="13" t="n">
        <f aca="false">MAX(B10:H10)</f>
        <v>95</v>
      </c>
    </row>
    <row r="11" customFormat="false" ht="15" hidden="false" customHeight="false" outlineLevel="0" collapsed="false">
      <c r="A11" s="4" t="s">
        <v>13</v>
      </c>
      <c r="B11" s="12" t="n">
        <v>67</v>
      </c>
      <c r="C11" s="12" t="n">
        <v>66</v>
      </c>
      <c r="D11" s="12" t="n">
        <v>72</v>
      </c>
      <c r="E11" s="12" t="n">
        <v>81</v>
      </c>
      <c r="F11" s="12" t="n">
        <v>84</v>
      </c>
      <c r="G11" s="12" t="n">
        <v>83</v>
      </c>
      <c r="H11" s="12" t="n">
        <v>93</v>
      </c>
      <c r="I11" s="13" t="n">
        <f aca="false">B11</f>
        <v>67</v>
      </c>
      <c r="J11" s="13" t="n">
        <f aca="false">LOOKUP(9.99E+307,B11:H11)</f>
        <v>93</v>
      </c>
      <c r="K11" s="14" t="n">
        <f aca="false">J11-I11</f>
        <v>26</v>
      </c>
      <c r="L11" s="15" t="n">
        <f aca="false">AVERAGE(B11:H11)</f>
        <v>78</v>
      </c>
      <c r="M11" s="13" t="n">
        <f aca="false">MAX(B11:H11)</f>
        <v>93</v>
      </c>
    </row>
    <row r="12" customFormat="false" ht="15" hidden="false" customHeight="false" outlineLevel="0" collapsed="false">
      <c r="A12" s="4" t="s">
        <v>14</v>
      </c>
      <c r="B12" s="12" t="n">
        <v>58</v>
      </c>
      <c r="C12" s="12" t="n">
        <v>73</v>
      </c>
      <c r="D12" s="12" t="n">
        <v>75</v>
      </c>
      <c r="E12" s="12" t="n">
        <v>78</v>
      </c>
      <c r="F12" s="12" t="n">
        <v>77</v>
      </c>
      <c r="G12" s="12" t="n">
        <v>77</v>
      </c>
      <c r="H12" s="12" t="n">
        <v>90</v>
      </c>
      <c r="I12" s="13" t="n">
        <f aca="false">B12</f>
        <v>58</v>
      </c>
      <c r="J12" s="13" t="n">
        <f aca="false">LOOKUP(9.99E+307,B12:H12)</f>
        <v>90</v>
      </c>
      <c r="K12" s="14" t="n">
        <f aca="false">J12-I12</f>
        <v>32</v>
      </c>
      <c r="L12" s="15" t="n">
        <f aca="false">AVERAGE(B12:H12)</f>
        <v>75.4285714285714</v>
      </c>
      <c r="M12" s="13" t="n">
        <f aca="false">MAX(B12:H12)</f>
        <v>90</v>
      </c>
    </row>
    <row r="13" customFormat="false" ht="15" hidden="false" customHeight="false" outlineLevel="0" collapsed="false">
      <c r="A13" s="4" t="s">
        <v>15</v>
      </c>
      <c r="B13" s="12" t="n">
        <v>57</v>
      </c>
      <c r="C13" s="12" t="n">
        <v>79</v>
      </c>
      <c r="D13" s="12" t="n">
        <v>76</v>
      </c>
      <c r="E13" s="12" t="n">
        <v>71</v>
      </c>
      <c r="F13" s="12" t="n">
        <v>80</v>
      </c>
      <c r="G13" s="12" t="n">
        <v>74</v>
      </c>
      <c r="H13" s="12" t="n">
        <v>87</v>
      </c>
      <c r="I13" s="13" t="n">
        <f aca="false">B13</f>
        <v>57</v>
      </c>
      <c r="J13" s="13" t="n">
        <f aca="false">LOOKUP(9.99E+307,B13:H13)</f>
        <v>87</v>
      </c>
      <c r="K13" s="14" t="n">
        <f aca="false">J13-I13</f>
        <v>30</v>
      </c>
      <c r="L13" s="15" t="n">
        <f aca="false">AVERAGE(B13:H13)</f>
        <v>74.8571428571429</v>
      </c>
      <c r="M13" s="13" t="n">
        <f aca="false">MAX(B13:H13)</f>
        <v>87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62.75</v>
      </c>
      <c r="C14" s="16" t="n">
        <f aca="false">AVERAGE(C10:C13)</f>
        <v>73.25</v>
      </c>
      <c r="D14" s="16" t="n">
        <f aca="false">AVERAGE(D10:D13)</f>
        <v>74.75</v>
      </c>
      <c r="E14" s="16" t="n">
        <f aca="false">AVERAGE(E10:E13)</f>
        <v>80</v>
      </c>
      <c r="F14" s="16" t="n">
        <f aca="false">AVERAGE(F10:F13)</f>
        <v>78.5</v>
      </c>
      <c r="G14" s="16" t="n">
        <f aca="false">AVERAGE(G10:G13)</f>
        <v>79</v>
      </c>
      <c r="H14" s="16" t="n">
        <f aca="false">AVERAGE(H10:H13)</f>
        <v>91.25</v>
      </c>
      <c r="I14" s="16" t="n">
        <f aca="false">B14</f>
        <v>62.75</v>
      </c>
      <c r="J14" s="16" t="n">
        <f aca="false">H14</f>
        <v>91.25</v>
      </c>
      <c r="K14" s="10" t="n">
        <f aca="false">J14-I14</f>
        <v>28.5</v>
      </c>
      <c r="L14" s="16" t="n">
        <f aca="false">AVERAGE(B10:H13)</f>
        <v>77.0714285714286</v>
      </c>
      <c r="M14" s="16" t="n">
        <f aca="false">MAX(B14:H14)</f>
        <v>91.25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M3"/>
    <mergeCell ref="A4:M4"/>
    <mergeCell ref="A5:M5"/>
    <mergeCell ref="A6:M6"/>
    <mergeCell ref="A7:M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37</v>
      </c>
    </row>
    <row r="3" customFormat="false" ht="18" hidden="false" customHeight="true" outlineLevel="0" collapsed="false">
      <c r="A3" s="2" t="s">
        <v>38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39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40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41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42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6</v>
      </c>
      <c r="B9" s="3" t="s">
        <v>43</v>
      </c>
      <c r="C9" s="3" t="s">
        <v>44</v>
      </c>
      <c r="D9" s="3" t="s">
        <v>45</v>
      </c>
      <c r="E9" s="3" t="s">
        <v>46</v>
      </c>
      <c r="F9" s="3" t="s">
        <v>31</v>
      </c>
      <c r="G9" s="3" t="s">
        <v>32</v>
      </c>
      <c r="H9" s="3" t="s">
        <v>33</v>
      </c>
      <c r="I9" s="3" t="s">
        <v>34</v>
      </c>
      <c r="J9" s="3" t="s">
        <v>35</v>
      </c>
    </row>
    <row r="10" customFormat="false" ht="15" hidden="false" customHeight="false" outlineLevel="0" collapsed="false">
      <c r="A10" s="4" t="s">
        <v>12</v>
      </c>
      <c r="B10" s="12" t="n">
        <v>87</v>
      </c>
      <c r="C10" s="12" t="n">
        <v>86</v>
      </c>
      <c r="D10" s="12" t="n">
        <v>80</v>
      </c>
      <c r="E10" s="12" t="n">
        <v>84</v>
      </c>
      <c r="F10" s="13" t="n">
        <f aca="false">B10</f>
        <v>87</v>
      </c>
      <c r="G10" s="13" t="n">
        <f aca="false">LOOKUP(9.99E+307,B10:E10)</f>
        <v>84</v>
      </c>
      <c r="H10" s="14" t="n">
        <f aca="false">G10-F10</f>
        <v>-3</v>
      </c>
      <c r="I10" s="15" t="n">
        <f aca="false">AVERAGE(B10:E10)</f>
        <v>84.25</v>
      </c>
      <c r="J10" s="13" t="n">
        <f aca="false">MAX(B10:E10)</f>
        <v>87</v>
      </c>
    </row>
    <row r="11" customFormat="false" ht="15" hidden="false" customHeight="false" outlineLevel="0" collapsed="false">
      <c r="A11" s="4" t="s">
        <v>13</v>
      </c>
      <c r="B11" s="12" t="n">
        <v>82</v>
      </c>
      <c r="C11" s="12" t="n">
        <v>77</v>
      </c>
      <c r="D11" s="12" t="n">
        <v>79</v>
      </c>
      <c r="E11" s="12" t="n">
        <v>80</v>
      </c>
      <c r="F11" s="13" t="n">
        <f aca="false">B11</f>
        <v>82</v>
      </c>
      <c r="G11" s="13" t="n">
        <f aca="false">LOOKUP(9.99E+307,B11:E11)</f>
        <v>80</v>
      </c>
      <c r="H11" s="14" t="n">
        <f aca="false">G11-F11</f>
        <v>-2</v>
      </c>
      <c r="I11" s="15" t="n">
        <f aca="false">AVERAGE(B11:E11)</f>
        <v>79.5</v>
      </c>
      <c r="J11" s="13" t="n">
        <f aca="false">MAX(B11:E11)</f>
        <v>82</v>
      </c>
    </row>
    <row r="12" customFormat="false" ht="15" hidden="false" customHeight="false" outlineLevel="0" collapsed="false">
      <c r="A12" s="4" t="s">
        <v>14</v>
      </c>
      <c r="B12" s="12" t="n">
        <v>80</v>
      </c>
      <c r="C12" s="12" t="n">
        <v>81</v>
      </c>
      <c r="D12" s="12" t="n">
        <v>91</v>
      </c>
      <c r="E12" s="12" t="n">
        <v>87</v>
      </c>
      <c r="F12" s="13" t="n">
        <f aca="false">B12</f>
        <v>80</v>
      </c>
      <c r="G12" s="13" t="n">
        <f aca="false">LOOKUP(9.99E+307,B12:E12)</f>
        <v>87</v>
      </c>
      <c r="H12" s="14" t="n">
        <f aca="false">G12-F12</f>
        <v>7</v>
      </c>
      <c r="I12" s="15" t="n">
        <f aca="false">AVERAGE(B12:E12)</f>
        <v>84.75</v>
      </c>
      <c r="J12" s="13" t="n">
        <f aca="false">MAX(B12:E12)</f>
        <v>91</v>
      </c>
    </row>
    <row r="13" customFormat="false" ht="15" hidden="false" customHeight="false" outlineLevel="0" collapsed="false">
      <c r="A13" s="4" t="s">
        <v>15</v>
      </c>
      <c r="B13" s="12" t="n">
        <v>84</v>
      </c>
      <c r="C13" s="12" t="n">
        <v>89</v>
      </c>
      <c r="D13" s="12" t="n">
        <v>74</v>
      </c>
      <c r="E13" s="12" t="n">
        <v>86</v>
      </c>
      <c r="F13" s="13" t="n">
        <f aca="false">B13</f>
        <v>84</v>
      </c>
      <c r="G13" s="13" t="n">
        <f aca="false">LOOKUP(9.99E+307,B13:E13)</f>
        <v>86</v>
      </c>
      <c r="H13" s="14" t="n">
        <f aca="false">G13-F13</f>
        <v>2</v>
      </c>
      <c r="I13" s="15" t="n">
        <f aca="false">AVERAGE(B13:E13)</f>
        <v>83.25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83.25</v>
      </c>
      <c r="C14" s="16" t="n">
        <f aca="false">AVERAGE(C10:C13)</f>
        <v>83.25</v>
      </c>
      <c r="D14" s="16" t="n">
        <f aca="false">AVERAGE(D10:D13)</f>
        <v>81</v>
      </c>
      <c r="E14" s="16" t="n">
        <f aca="false">AVERAGE(E10:E13)</f>
        <v>84.25</v>
      </c>
      <c r="F14" s="16" t="n">
        <f aca="false">B14</f>
        <v>83.25</v>
      </c>
      <c r="G14" s="16" t="n">
        <f aca="false">E14</f>
        <v>84.25</v>
      </c>
      <c r="H14" s="10" t="n">
        <f aca="false">G14-F14</f>
        <v>1</v>
      </c>
      <c r="I14" s="16" t="n">
        <f aca="false">AVERAGE(B10:E13)</f>
        <v>82.9375</v>
      </c>
      <c r="J14" s="16" t="n">
        <f aca="false">MAX(B14:E14)</f>
        <v>84.25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3"/>
  </cols>
  <sheetData>
    <row r="1" customFormat="false" ht="19.4" hidden="false" customHeight="false" outlineLevel="0" collapsed="false">
      <c r="A1" s="1" t="s">
        <v>47</v>
      </c>
    </row>
    <row r="3" customFormat="false" ht="18" hidden="false" customHeight="true" outlineLevel="0" collapsed="false">
      <c r="A3" s="2" t="s">
        <v>48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49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50</v>
      </c>
      <c r="B5" s="2"/>
      <c r="C5" s="2"/>
      <c r="D5" s="2"/>
      <c r="E5" s="2"/>
      <c r="F5" s="2"/>
      <c r="G5" s="2"/>
      <c r="H5" s="2"/>
    </row>
    <row r="6" customFormat="false" ht="18" hidden="false" customHeight="true" outlineLevel="0" collapsed="false">
      <c r="A6" s="2" t="s">
        <v>51</v>
      </c>
      <c r="B6" s="2"/>
      <c r="C6" s="2"/>
      <c r="D6" s="2"/>
      <c r="E6" s="2"/>
      <c r="F6" s="2"/>
      <c r="G6" s="2"/>
      <c r="H6" s="2"/>
    </row>
    <row r="7" customFormat="false" ht="18" hidden="false" customHeight="true" outlineLevel="0" collapsed="false">
      <c r="A7" s="2" t="s">
        <v>52</v>
      </c>
      <c r="B7" s="2"/>
      <c r="C7" s="2"/>
      <c r="D7" s="2"/>
      <c r="E7" s="2"/>
      <c r="F7" s="2"/>
      <c r="G7" s="2"/>
      <c r="H7" s="2"/>
    </row>
    <row r="9" customFormat="false" ht="33.75" hidden="false" customHeight="true" outlineLevel="0" collapsed="false">
      <c r="A9" s="3" t="s">
        <v>6</v>
      </c>
      <c r="B9" s="3" t="s">
        <v>53</v>
      </c>
      <c r="C9" s="3" t="s">
        <v>54</v>
      </c>
      <c r="D9" s="3" t="s">
        <v>31</v>
      </c>
      <c r="E9" s="3" t="s">
        <v>32</v>
      </c>
      <c r="F9" s="3" t="s">
        <v>33</v>
      </c>
      <c r="G9" s="3" t="s">
        <v>34</v>
      </c>
      <c r="H9" s="3" t="s">
        <v>35</v>
      </c>
    </row>
    <row r="10" customFormat="false" ht="15" hidden="false" customHeight="false" outlineLevel="0" collapsed="false">
      <c r="A10" s="4" t="s">
        <v>12</v>
      </c>
      <c r="B10" s="12" t="n">
        <v>86</v>
      </c>
      <c r="C10" s="12" t="n">
        <v>88</v>
      </c>
      <c r="D10" s="13" t="n">
        <f aca="false">B10</f>
        <v>86</v>
      </c>
      <c r="E10" s="13" t="n">
        <f aca="false">LOOKUP(9.99E+307,B10:C10)</f>
        <v>88</v>
      </c>
      <c r="F10" s="14" t="n">
        <f aca="false">E10-D10</f>
        <v>2</v>
      </c>
      <c r="G10" s="15" t="n">
        <f aca="false">AVERAGE(B10:C10)</f>
        <v>87</v>
      </c>
      <c r="H10" s="13" t="n">
        <f aca="false">MAX(B10:C10)</f>
        <v>88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88</v>
      </c>
      <c r="D11" s="13" t="n">
        <f aca="false">B11</f>
        <v>88</v>
      </c>
      <c r="E11" s="13" t="n">
        <f aca="false">LOOKUP(9.99E+307,B11:C11)</f>
        <v>88</v>
      </c>
      <c r="F11" s="14" t="n">
        <f aca="false">E11-D11</f>
        <v>0</v>
      </c>
      <c r="G11" s="15" t="n">
        <f aca="false">AVERAGE(B11:C11)</f>
        <v>88</v>
      </c>
      <c r="H11" s="13" t="n">
        <f aca="false">MAX(B11:C11)</f>
        <v>88</v>
      </c>
    </row>
    <row r="12" customFormat="false" ht="15" hidden="false" customHeight="false" outlineLevel="0" collapsed="false">
      <c r="A12" s="4" t="s">
        <v>14</v>
      </c>
      <c r="B12" s="12" t="n">
        <v>93</v>
      </c>
      <c r="C12" s="12" t="n">
        <v>87</v>
      </c>
      <c r="D12" s="13" t="n">
        <f aca="false">B12</f>
        <v>93</v>
      </c>
      <c r="E12" s="13" t="n">
        <f aca="false">LOOKUP(9.99E+307,B12:C12)</f>
        <v>87</v>
      </c>
      <c r="F12" s="14" t="n">
        <f aca="false">E12-D12</f>
        <v>-6</v>
      </c>
      <c r="G12" s="15" t="n">
        <f aca="false">AVERAGE(B12:C12)</f>
        <v>90</v>
      </c>
      <c r="H12" s="13" t="n">
        <f aca="false">MAX(B12:C12)</f>
        <v>93</v>
      </c>
    </row>
    <row r="13" customFormat="false" ht="15" hidden="false" customHeight="false" outlineLevel="0" collapsed="false">
      <c r="A13" s="4" t="s">
        <v>15</v>
      </c>
      <c r="B13" s="12" t="n">
        <v>74</v>
      </c>
      <c r="C13" s="12"/>
      <c r="D13" s="13" t="n">
        <f aca="false">B13</f>
        <v>74</v>
      </c>
      <c r="E13" s="13" t="n">
        <f aca="false">LOOKUP(9.99E+307,B13:C13)</f>
        <v>74</v>
      </c>
      <c r="F13" s="14" t="n">
        <f aca="false">E13-D13</f>
        <v>0</v>
      </c>
      <c r="G13" s="15" t="n">
        <f aca="false">AVERAGE(B13:C13)</f>
        <v>74</v>
      </c>
      <c r="H13" s="13" t="n">
        <f aca="false">MAX(B13:C13)</f>
        <v>74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85.25</v>
      </c>
      <c r="C14" s="16" t="n">
        <f aca="false">AVERAGE(C10:C13)</f>
        <v>87.6666666666667</v>
      </c>
      <c r="D14" s="16" t="n">
        <f aca="false">B14</f>
        <v>85.25</v>
      </c>
      <c r="E14" s="16" t="n">
        <f aca="false">C14</f>
        <v>87.6666666666667</v>
      </c>
      <c r="F14" s="10" t="n">
        <f aca="false">E14-D14</f>
        <v>2.41666666666667</v>
      </c>
      <c r="G14" s="16" t="n">
        <f aca="false">AVERAGE(B10:C13)</f>
        <v>86.2857142857143</v>
      </c>
      <c r="H14" s="16" t="n">
        <f aca="false">MAX(B14:C14)</f>
        <v>87.6666666666667</v>
      </c>
    </row>
    <row r="15" customFormat="false" ht="15" hidden="false" customHeight="false" outlineLevel="0" collapsed="false">
      <c r="A15" s="11" t="s">
        <v>36</v>
      </c>
    </row>
  </sheetData>
  <mergeCells count="5">
    <mergeCell ref="A3:H3"/>
    <mergeCell ref="A4:H4"/>
    <mergeCell ref="A5:H5"/>
    <mergeCell ref="A6:H6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2026-10-27T11:27:42Z</dcterms:created>
  <dc:creator>openpyxl</dc:creator>
  <dc:description/>
  <dc:language>en-US</dc:language>
  <cp:lastModifiedBy/>
  <dcterms:modified xsi:type="dcterms:W3CDTF">2026-10-27T11:27:44Z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