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총점 성장 요약" sheetId="1" state="visible" r:id="rId3"/>
    <sheet name="고1 모의고사" sheetId="2" state="visible" r:id="rId4"/>
    <sheet name="고2 모의고사" sheetId="3" state="visible" r:id="rId5"/>
    <sheet name="고3 모의고사·수능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3" authorId="0">
      <text>
        <r>
          <rPr>
            <sz val="10"/>
            <rFont val="WenQuanYi Zen Hei"/>
            <family val="2"/>
          </rPr>
          <t xml:space="preserve">기말고사 기간으로 미응시</t>
        </r>
      </text>
    </comment>
  </commentList>
</comments>
</file>

<file path=xl/sharedStrings.xml><?xml version="1.0" encoding="utf-8"?>
<sst xmlns="http://schemas.openxmlformats.org/spreadsheetml/2006/main" count="85" uniqueCount="55">
  <si>
    <r>
      <rPr>
        <b val="true"/>
        <sz val="14"/>
        <rFont val="WenQuanYi Zen Hei"/>
        <family val="2"/>
      </rPr>
      <t xml:space="preserve">김건희 반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시험 수준별 총점 성장</t>
    </r>
  </si>
  <si>
    <r>
      <rPr>
        <sz val="11"/>
        <rFont val="WenQuanYi Zen Hei"/>
        <family val="2"/>
      </rPr>
      <t xml:space="preserve">■ 시험이 고</t>
    </r>
    <r>
      <rPr>
        <sz val="11"/>
        <rFont val="Arial"/>
        <family val="0"/>
        <charset val="1"/>
      </rPr>
      <t xml:space="preserve">1 →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2 →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3·</t>
    </r>
    <r>
      <rPr>
        <sz val="11"/>
        <rFont val="WenQuanYi Zen Hei"/>
        <family val="2"/>
      </rPr>
      <t xml:space="preserve">수능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으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로 어려워지는데도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그룹별 반 평균 총점은 고</t>
    </r>
    <r>
      <rPr>
        <sz val="11"/>
        <rFont val="Arial"/>
        <family val="0"/>
        <charset val="1"/>
      </rPr>
      <t xml:space="preserve">1 77.1</t>
    </r>
    <r>
      <rPr>
        <sz val="11"/>
        <rFont val="WenQuanYi Zen Hei"/>
        <family val="2"/>
      </rPr>
      <t xml:space="preserve">점 → 고</t>
    </r>
    <r>
      <rPr>
        <sz val="11"/>
        <rFont val="Arial"/>
        <family val="0"/>
        <charset val="1"/>
      </rPr>
      <t xml:space="preserve">2 82.9</t>
    </r>
    <r>
      <rPr>
        <sz val="11"/>
        <rFont val="WenQuanYi Zen Hei"/>
        <family val="2"/>
      </rPr>
      <t xml:space="preserve">점 → 고</t>
    </r>
    <r>
      <rPr>
        <sz val="11"/>
        <rFont val="Arial"/>
        <family val="0"/>
        <charset val="1"/>
      </rPr>
      <t xml:space="preserve">3+</t>
    </r>
    <r>
      <rPr>
        <sz val="11"/>
        <rFont val="WenQuanYi Zen Hei"/>
        <family val="2"/>
      </rPr>
      <t xml:space="preserve">수능 </t>
    </r>
    <r>
      <rPr>
        <sz val="11"/>
        <rFont val="Arial"/>
        <family val="0"/>
        <charset val="1"/>
      </rPr>
      <t xml:space="preserve">86.3</t>
    </r>
    <r>
      <rPr>
        <sz val="11"/>
        <rFont val="WenQuanYi Zen Hei"/>
        <family val="2"/>
      </rPr>
      <t xml:space="preserve">점으로 계속 올랐습니다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</si>
  <si>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■ 중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첫 고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모의고사 반 평균은 </t>
    </r>
    <r>
      <rPr>
        <sz val="11"/>
        <rFont val="Arial"/>
        <family val="0"/>
        <charset val="1"/>
      </rPr>
      <t xml:space="preserve">62.8</t>
    </r>
    <r>
      <rPr>
        <sz val="11"/>
        <rFont val="WenQuanYi Zen Hei"/>
        <family val="2"/>
      </rPr>
      <t xml:space="preserve">점이었습니다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마지막 그룹 평균은 그보다 </t>
    </r>
    <r>
      <rPr>
        <sz val="11"/>
        <rFont val="Arial"/>
        <family val="0"/>
        <charset val="1"/>
      </rPr>
      <t xml:space="preserve">+23.5</t>
    </r>
    <r>
      <rPr>
        <sz val="11"/>
        <rFont val="WenQuanYi Zen Hei"/>
        <family val="2"/>
      </rPr>
      <t xml:space="preserve">점 높습니다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</si>
  <si>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■ 학생 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명 중 </t>
    </r>
    <r>
      <rPr>
        <sz val="11"/>
        <rFont val="Arial"/>
        <family val="0"/>
        <charset val="1"/>
      </rPr>
      <t xml:space="preserve">3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김건희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안도후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안동휘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은 그룹이 올라갈 때마다 평균 점수도 올랐습니다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</si>
  <si>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■ 나머지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나민하</t>
    </r>
    <r>
      <rPr>
        <sz val="11"/>
        <rFont val="Arial"/>
        <family val="0"/>
        <charset val="1"/>
      </rPr>
      <t xml:space="preserve">(74.9 → 83.3 → 74.0) — </t>
    </r>
    <r>
      <rPr>
        <sz val="11"/>
        <rFont val="WenQuanYi Zen Hei"/>
        <family val="2"/>
      </rPr>
      <t xml:space="preserve">그룹 안에서 시험마다 점수 차이가 큰 학생입니다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</si>
  <si>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■ 그룹 평균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그 수준 시험을 본 모든 회차 점수의 평균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각 그룹 시트에 시험별 점수와 첫 시험 → 마지막 시험 변화가 있습니다</t>
    </r>
    <r>
      <rPr>
        <sz val="11"/>
        <rFont val="Arial"/>
        <family val="0"/>
        <charset val="1"/>
      </rPr>
      <t xml:space="preserve">.</t>
    </r>
  </si>
  <si>
    <t xml:space="preserve">학생</t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</si>
  <si>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첫 시험</t>
    </r>
  </si>
  <si>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모의고사
평균</t>
    </r>
  </si>
  <si>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2 </t>
    </r>
    <r>
      <rPr>
        <b val="true"/>
        <sz val="11"/>
        <rFont val="WenQuanYi Zen Hei"/>
        <family val="2"/>
      </rPr>
      <t xml:space="preserve">모의고사
평균</t>
    </r>
  </si>
  <si>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3 </t>
    </r>
    <r>
      <rPr>
        <b val="true"/>
        <sz val="11"/>
        <rFont val="WenQuanYi Zen Hei"/>
        <family val="2"/>
      </rPr>
      <t xml:space="preserve">모의고사</t>
    </r>
    <r>
      <rPr>
        <b val="true"/>
        <sz val="11"/>
        <rFont val="Arial"/>
        <family val="0"/>
        <charset val="1"/>
      </rPr>
      <t xml:space="preserve">+</t>
    </r>
    <r>
      <rPr>
        <b val="true"/>
        <sz val="11"/>
        <rFont val="WenQuanYi Zen Hei"/>
        <family val="2"/>
      </rPr>
      <t xml:space="preserve">수능
평균</t>
    </r>
  </si>
  <si>
    <t xml:space="preserve">첫 시험 →
마지막 그룹 평균</t>
  </si>
  <si>
    <t xml:space="preserve">김건희</t>
  </si>
  <si>
    <t xml:space="preserve">안도후</t>
  </si>
  <si>
    <t xml:space="preserve">안동휘</t>
  </si>
  <si>
    <t xml:space="preserve">나민하</t>
  </si>
  <si>
    <t xml:space="preserve">반 평균</t>
  </si>
  <si>
    <r>
      <rPr>
        <sz val="9"/>
        <color rgb="FF666666"/>
        <rFont val="WenQuanYi Zen Hei"/>
        <family val="2"/>
      </rPr>
      <t xml:space="preserve">등급 기준</t>
    </r>
    <r>
      <rPr>
        <sz val="9"/>
        <color rgb="FF666666"/>
        <rFont val="Arial"/>
        <family val="0"/>
        <charset val="1"/>
      </rPr>
      <t xml:space="preserve">: 90</t>
    </r>
    <r>
      <rPr>
        <sz val="9"/>
        <color rgb="FF666666"/>
        <rFont val="WenQuanYi Zen Hei"/>
        <family val="2"/>
      </rPr>
      <t xml:space="preserve">점 이상 </t>
    </r>
    <r>
      <rPr>
        <sz val="9"/>
        <color rgb="FF666666"/>
        <rFont val="Arial"/>
        <family val="0"/>
        <charset val="1"/>
      </rPr>
      <t xml:space="preserve">1</t>
    </r>
    <r>
      <rPr>
        <sz val="9"/>
        <color rgb="FF666666"/>
        <rFont val="WenQuanYi Zen Hei"/>
        <family val="2"/>
      </rPr>
      <t xml:space="preserve">등급</t>
    </r>
    <r>
      <rPr>
        <sz val="9"/>
        <color rgb="FF666666"/>
        <rFont val="Arial"/>
        <family val="0"/>
        <charset val="1"/>
      </rPr>
      <t xml:space="preserve">, 80~89</t>
    </r>
    <r>
      <rPr>
        <sz val="9"/>
        <color rgb="FF666666"/>
        <rFont val="WenQuanYi Zen Hei"/>
        <family val="2"/>
      </rPr>
      <t xml:space="preserve">점 </t>
    </r>
    <r>
      <rPr>
        <sz val="9"/>
        <color rgb="FF666666"/>
        <rFont val="Arial"/>
        <family val="0"/>
        <charset val="1"/>
      </rPr>
      <t xml:space="preserve">2</t>
    </r>
    <r>
      <rPr>
        <sz val="9"/>
        <color rgb="FF666666"/>
        <rFont val="WenQuanYi Zen Hei"/>
        <family val="2"/>
      </rPr>
      <t xml:space="preserve">등급</t>
    </r>
    <r>
      <rPr>
        <sz val="9"/>
        <color rgb="FF666666"/>
        <rFont val="Arial"/>
        <family val="0"/>
        <charset val="1"/>
      </rPr>
      <t xml:space="preserve">, 70~79</t>
    </r>
    <r>
      <rPr>
        <sz val="9"/>
        <color rgb="FF666666"/>
        <rFont val="WenQuanYi Zen Hei"/>
        <family val="2"/>
      </rPr>
      <t xml:space="preserve">점 </t>
    </r>
    <r>
      <rPr>
        <sz val="9"/>
        <color rgb="FF666666"/>
        <rFont val="Arial"/>
        <family val="0"/>
        <charset val="1"/>
      </rPr>
      <t xml:space="preserve">3</t>
    </r>
    <r>
      <rPr>
        <sz val="9"/>
        <color rgb="FF666666"/>
        <rFont val="WenQuanYi Zen Hei"/>
        <family val="2"/>
      </rPr>
      <t xml:space="preserve">등급</t>
    </r>
    <r>
      <rPr>
        <sz val="9"/>
        <color rgb="FF666666"/>
        <rFont val="Arial"/>
        <family val="0"/>
        <charset val="1"/>
      </rPr>
      <t xml:space="preserve">, 60~69</t>
    </r>
    <r>
      <rPr>
        <sz val="9"/>
        <color rgb="FF666666"/>
        <rFont val="WenQuanYi Zen Hei"/>
        <family val="2"/>
      </rPr>
      <t xml:space="preserve">점 </t>
    </r>
    <r>
      <rPr>
        <sz val="9"/>
        <color rgb="FF666666"/>
        <rFont val="Arial"/>
        <family val="0"/>
        <charset val="1"/>
      </rPr>
      <t xml:space="preserve">4</t>
    </r>
    <r>
      <rPr>
        <sz val="9"/>
        <color rgb="FF666666"/>
        <rFont val="WenQuanYi Zen Hei"/>
        <family val="2"/>
      </rPr>
      <t xml:space="preserve">등급 </t>
    </r>
    <r>
      <rPr>
        <sz val="9"/>
        <color rgb="FF666666"/>
        <rFont val="Arial"/>
        <family val="0"/>
        <charset val="1"/>
      </rPr>
      <t xml:space="preserve">· </t>
    </r>
    <r>
      <rPr>
        <sz val="9"/>
        <color rgb="FF666666"/>
        <rFont val="WenQuanYi Zen Hei"/>
        <family val="2"/>
      </rPr>
      <t xml:space="preserve">파란 글씨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성적표 입력값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초록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다른 시트 값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검은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계산식</t>
    </r>
  </si>
  <si>
    <r>
      <rPr>
        <b val="true"/>
        <sz val="14"/>
        <rFont val="WenQuanYi Zen Hei"/>
        <family val="2"/>
      </rPr>
      <t xml:space="preserve">김건희 반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고</t>
    </r>
    <r>
      <rPr>
        <b val="true"/>
        <sz val="14"/>
        <rFont val="Arial"/>
        <family val="0"/>
        <charset val="1"/>
      </rPr>
      <t xml:space="preserve">1 </t>
    </r>
    <r>
      <rPr>
        <b val="true"/>
        <sz val="14"/>
        <rFont val="WenQuanYi Zen Hei"/>
        <family val="2"/>
      </rPr>
      <t xml:space="preserve">모의고사 총점 변화</t>
    </r>
  </si>
  <si>
    <r>
      <rPr>
        <sz val="11"/>
        <rFont val="WenQuanYi Zen Hei"/>
        <family val="2"/>
      </rPr>
      <t xml:space="preserve">■ 시험 </t>
    </r>
    <r>
      <rPr>
        <sz val="11"/>
        <rFont val="Arial"/>
        <family val="0"/>
        <charset val="1"/>
      </rPr>
      <t xml:space="preserve">7</t>
    </r>
    <r>
      <rPr>
        <sz val="11"/>
        <rFont val="WenQuanYi Zen Hei"/>
        <family val="2"/>
      </rPr>
      <t xml:space="preserve">회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1 1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(2020)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1,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1 2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(2020)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1,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1 3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(2020)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1,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1 4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(2020)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1,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1 5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(2020)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1,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2 1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(2021) </t>
    </r>
    <r>
      <rPr>
        <sz val="11"/>
        <rFont val="WenQuanYi Zen Hei"/>
        <family val="2"/>
      </rPr>
      <t xml:space="preserve">수준 표기 없음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2 2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(2021) </t>
    </r>
    <r>
      <rPr>
        <sz val="11"/>
        <rFont val="WenQuanYi Zen Hei"/>
        <family val="2"/>
      </rPr>
      <t xml:space="preserve">수준 표기 없음</t>
    </r>
  </si>
  <si>
    <r>
      <rPr>
        <sz val="11"/>
        <rFont val="WenQuanYi Zen Hei"/>
        <family val="2"/>
      </rPr>
      <t xml:space="preserve">■ 반 평균 총점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첫 시험 </t>
    </r>
    <r>
      <rPr>
        <sz val="11"/>
        <rFont val="Arial"/>
        <family val="0"/>
        <charset val="1"/>
      </rPr>
      <t xml:space="preserve">62.8</t>
    </r>
    <r>
      <rPr>
        <sz val="11"/>
        <rFont val="WenQuanYi Zen Hei"/>
        <family val="2"/>
      </rPr>
      <t xml:space="preserve">점 → 마지막 시험 </t>
    </r>
    <r>
      <rPr>
        <sz val="11"/>
        <rFont val="Arial"/>
        <family val="0"/>
        <charset val="1"/>
      </rPr>
      <t xml:space="preserve">91.3</t>
    </r>
    <r>
      <rPr>
        <sz val="11"/>
        <rFont val="WenQuanYi Zen Hei"/>
        <family val="2"/>
      </rPr>
      <t xml:space="preserve">점 </t>
    </r>
    <r>
      <rPr>
        <sz val="11"/>
        <rFont val="Arial"/>
        <family val="0"/>
        <charset val="1"/>
      </rPr>
      <t xml:space="preserve">(+28.5</t>
    </r>
    <r>
      <rPr>
        <sz val="11"/>
        <rFont val="WenQuanYi Zen Hei"/>
        <family val="2"/>
      </rPr>
      <t xml:space="preserve">점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</si>
  <si>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■ 등급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첫 시험 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, 5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명 → 마지막 시험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3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, 2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명</t>
    </r>
  </si>
  <si>
    <r>
      <rPr>
        <sz val="11"/>
        <rFont val="WenQuanYi Zen Hei"/>
        <family val="2"/>
      </rPr>
      <t xml:space="preserve">■ 가장 많이 오른 학생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안동휘 </t>
    </r>
    <r>
      <rPr>
        <sz val="11"/>
        <rFont val="Arial"/>
        <family val="0"/>
        <charset val="1"/>
      </rPr>
      <t xml:space="preserve">58</t>
    </r>
    <r>
      <rPr>
        <sz val="11"/>
        <rFont val="WenQuanYi Zen Hei"/>
        <family val="2"/>
      </rPr>
      <t xml:space="preserve">점 → </t>
    </r>
    <r>
      <rPr>
        <sz val="11"/>
        <rFont val="Arial"/>
        <family val="0"/>
        <charset val="1"/>
      </rPr>
      <t xml:space="preserve">90</t>
    </r>
    <r>
      <rPr>
        <sz val="11"/>
        <rFont val="WenQuanYi Zen Hei"/>
        <family val="2"/>
      </rPr>
      <t xml:space="preserve">점 </t>
    </r>
    <r>
      <rPr>
        <sz val="11"/>
        <rFont val="Arial"/>
        <family val="0"/>
        <charset val="1"/>
      </rPr>
      <t xml:space="preserve">(+32</t>
    </r>
    <r>
      <rPr>
        <sz val="11"/>
        <rFont val="WenQuanYi Zen Hei"/>
        <family val="2"/>
      </rPr>
      <t xml:space="preserve">점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</si>
  <si>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■ 중</t>
    </r>
    <r>
      <rPr>
        <sz val="11"/>
        <rFont val="Arial"/>
        <family val="0"/>
        <charset val="1"/>
      </rPr>
      <t xml:space="preserve">2 1·2</t>
    </r>
    <r>
      <rPr>
        <sz val="11"/>
        <rFont val="WenQuanYi Zen Hei"/>
        <family val="2"/>
      </rPr>
      <t xml:space="preserve">차는 성적표에 시험 수준 표기가 없어 고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모의고사로 분류했습니다 </t>
    </r>
    <r>
      <rPr>
        <sz val="11"/>
        <rFont val="Arial"/>
        <family val="0"/>
        <charset val="1"/>
      </rPr>
      <t xml:space="preserve">(3</t>
    </r>
    <r>
      <rPr>
        <sz val="11"/>
        <rFont val="WenQuanYi Zen Hei"/>
        <family val="2"/>
      </rPr>
      <t xml:space="preserve">차부터 </t>
    </r>
    <r>
      <rPr>
        <sz val="11"/>
        <rFont val="Arial"/>
        <family val="0"/>
        <charset val="1"/>
      </rPr>
      <t xml:space="preserve">"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모의고사</t>
    </r>
    <r>
      <rPr>
        <sz val="11"/>
        <rFont val="Arial"/>
        <family val="0"/>
        <charset val="1"/>
      </rPr>
      <t xml:space="preserve">" </t>
    </r>
    <r>
      <rPr>
        <sz val="11"/>
        <rFont val="WenQuanYi Zen Hei"/>
        <family val="2"/>
      </rPr>
      <t xml:space="preserve">표기</t>
    </r>
    <r>
      <rPr>
        <sz val="11"/>
        <rFont val="Arial"/>
        <family val="0"/>
        <charset val="1"/>
      </rPr>
      <t xml:space="preserve">).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</si>
  <si>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1 1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(2020)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</si>
  <si>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1 2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(2020)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</si>
  <si>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1 3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(2020)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</si>
  <si>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1 4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(2020)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</si>
  <si>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1 5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(2020)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</si>
  <si>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2 1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(2021)
</t>
    </r>
    <r>
      <rPr>
        <b val="true"/>
        <sz val="11"/>
        <rFont val="WenQuanYi Zen Hei"/>
        <family val="2"/>
      </rPr>
      <t xml:space="preserve">수준 표기 없음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</si>
  <si>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2 2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(2021)
</t>
    </r>
    <r>
      <rPr>
        <b val="true"/>
        <sz val="11"/>
        <rFont val="WenQuanYi Zen Hei"/>
        <family val="2"/>
      </rPr>
      <t xml:space="preserve">수준 표기 없음</t>
    </r>
  </si>
  <si>
    <t xml:space="preserve">첫 시험</t>
  </si>
  <si>
    <t xml:space="preserve">마지막 시험</t>
  </si>
  <si>
    <t xml:space="preserve">변화</t>
  </si>
  <si>
    <t xml:space="preserve">평균</t>
  </si>
  <si>
    <t xml:space="preserve">최고</t>
  </si>
  <si>
    <r>
      <rPr>
        <sz val="9"/>
        <color rgb="FF666666"/>
        <rFont val="WenQuanYi Zen Hei"/>
        <family val="2"/>
      </rPr>
      <t xml:space="preserve">등급 기준</t>
    </r>
    <r>
      <rPr>
        <sz val="9"/>
        <color rgb="FF666666"/>
        <rFont val="Arial"/>
        <family val="0"/>
        <charset val="1"/>
      </rPr>
      <t xml:space="preserve">: 90</t>
    </r>
    <r>
      <rPr>
        <sz val="9"/>
        <color rgb="FF666666"/>
        <rFont val="WenQuanYi Zen Hei"/>
        <family val="2"/>
      </rPr>
      <t xml:space="preserve">점 이상 </t>
    </r>
    <r>
      <rPr>
        <sz val="9"/>
        <color rgb="FF666666"/>
        <rFont val="Arial"/>
        <family val="0"/>
        <charset val="1"/>
      </rPr>
      <t xml:space="preserve">1</t>
    </r>
    <r>
      <rPr>
        <sz val="9"/>
        <color rgb="FF666666"/>
        <rFont val="WenQuanYi Zen Hei"/>
        <family val="2"/>
      </rPr>
      <t xml:space="preserve">등급</t>
    </r>
    <r>
      <rPr>
        <sz val="9"/>
        <color rgb="FF666666"/>
        <rFont val="Arial"/>
        <family val="0"/>
        <charset val="1"/>
      </rPr>
      <t xml:space="preserve">, 80~89</t>
    </r>
    <r>
      <rPr>
        <sz val="9"/>
        <color rgb="FF666666"/>
        <rFont val="WenQuanYi Zen Hei"/>
        <family val="2"/>
      </rPr>
      <t xml:space="preserve">점 </t>
    </r>
    <r>
      <rPr>
        <sz val="9"/>
        <color rgb="FF666666"/>
        <rFont val="Arial"/>
        <family val="0"/>
        <charset val="1"/>
      </rPr>
      <t xml:space="preserve">2</t>
    </r>
    <r>
      <rPr>
        <sz val="9"/>
        <color rgb="FF666666"/>
        <rFont val="WenQuanYi Zen Hei"/>
        <family val="2"/>
      </rPr>
      <t xml:space="preserve">등급</t>
    </r>
    <r>
      <rPr>
        <sz val="9"/>
        <color rgb="FF666666"/>
        <rFont val="Arial"/>
        <family val="0"/>
        <charset val="1"/>
      </rPr>
      <t xml:space="preserve">, 70~79</t>
    </r>
    <r>
      <rPr>
        <sz val="9"/>
        <color rgb="FF666666"/>
        <rFont val="WenQuanYi Zen Hei"/>
        <family val="2"/>
      </rPr>
      <t xml:space="preserve">점 </t>
    </r>
    <r>
      <rPr>
        <sz val="9"/>
        <color rgb="FF666666"/>
        <rFont val="Arial"/>
        <family val="0"/>
        <charset val="1"/>
      </rPr>
      <t xml:space="preserve">3</t>
    </r>
    <r>
      <rPr>
        <sz val="9"/>
        <color rgb="FF666666"/>
        <rFont val="WenQuanYi Zen Hei"/>
        <family val="2"/>
      </rPr>
      <t xml:space="preserve">등급</t>
    </r>
    <r>
      <rPr>
        <sz val="9"/>
        <color rgb="FF666666"/>
        <rFont val="Arial"/>
        <family val="0"/>
        <charset val="1"/>
      </rPr>
      <t xml:space="preserve">, 60~69</t>
    </r>
    <r>
      <rPr>
        <sz val="9"/>
        <color rgb="FF666666"/>
        <rFont val="WenQuanYi Zen Hei"/>
        <family val="2"/>
      </rPr>
      <t xml:space="preserve">점 </t>
    </r>
    <r>
      <rPr>
        <sz val="9"/>
        <color rgb="FF666666"/>
        <rFont val="Arial"/>
        <family val="0"/>
        <charset val="1"/>
      </rPr>
      <t xml:space="preserve">4</t>
    </r>
    <r>
      <rPr>
        <sz val="9"/>
        <color rgb="FF666666"/>
        <rFont val="WenQuanYi Zen Hei"/>
        <family val="2"/>
      </rPr>
      <t xml:space="preserve">등급 </t>
    </r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WenQuanYi Zen Hei"/>
        <family val="2"/>
      </rPr>
      <t xml:space="preserve">절대평가</t>
    </r>
    <r>
      <rPr>
        <sz val="9"/>
        <color rgb="FF666666"/>
        <rFont val="Arial"/>
        <family val="0"/>
        <charset val="1"/>
      </rPr>
      <t xml:space="preserve">)</t>
    </r>
  </si>
  <si>
    <r>
      <rPr>
        <b val="true"/>
        <sz val="14"/>
        <rFont val="WenQuanYi Zen Hei"/>
        <family val="2"/>
      </rPr>
      <t xml:space="preserve">김건희 반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고</t>
    </r>
    <r>
      <rPr>
        <b val="true"/>
        <sz val="14"/>
        <rFont val="Arial"/>
        <family val="0"/>
        <charset val="1"/>
      </rPr>
      <t xml:space="preserve">2 </t>
    </r>
    <r>
      <rPr>
        <b val="true"/>
        <sz val="14"/>
        <rFont val="WenQuanYi Zen Hei"/>
        <family val="2"/>
      </rPr>
      <t xml:space="preserve">모의고사 총점 변화</t>
    </r>
  </si>
  <si>
    <r>
      <rPr>
        <sz val="11"/>
        <rFont val="WenQuanYi Zen Hei"/>
        <family val="2"/>
      </rPr>
      <t xml:space="preserve">■ 시험 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회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2 3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(2021)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2,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2 4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(2021)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2,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3 1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(2022)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2,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3 2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(2022)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2</t>
    </r>
  </si>
  <si>
    <r>
      <rPr>
        <sz val="11"/>
        <rFont val="WenQuanYi Zen Hei"/>
        <family val="2"/>
      </rPr>
      <t xml:space="preserve">■ 반 평균 총점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첫 시험 </t>
    </r>
    <r>
      <rPr>
        <sz val="11"/>
        <rFont val="Arial"/>
        <family val="0"/>
        <charset val="1"/>
      </rPr>
      <t xml:space="preserve">83.3</t>
    </r>
    <r>
      <rPr>
        <sz val="11"/>
        <rFont val="WenQuanYi Zen Hei"/>
        <family val="2"/>
      </rPr>
      <t xml:space="preserve">점 → 마지막 시험 </t>
    </r>
    <r>
      <rPr>
        <sz val="11"/>
        <rFont val="Arial"/>
        <family val="0"/>
        <charset val="1"/>
      </rPr>
      <t xml:space="preserve">84.3</t>
    </r>
    <r>
      <rPr>
        <sz val="11"/>
        <rFont val="WenQuanYi Zen Hei"/>
        <family val="2"/>
      </rPr>
      <t xml:space="preserve">점 </t>
    </r>
    <r>
      <rPr>
        <sz val="11"/>
        <rFont val="Arial"/>
        <family val="0"/>
        <charset val="1"/>
      </rPr>
      <t xml:space="preserve">(+1.0</t>
    </r>
    <r>
      <rPr>
        <sz val="11"/>
        <rFont val="WenQuanYi Zen Hei"/>
        <family val="2"/>
      </rPr>
      <t xml:space="preserve">점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</si>
  <si>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■ 등급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첫 시험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명 → 마지막 시험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명</t>
    </r>
  </si>
  <si>
    <r>
      <rPr>
        <sz val="11"/>
        <rFont val="WenQuanYi Zen Hei"/>
        <family val="2"/>
      </rPr>
      <t xml:space="preserve">■ 가장 많이 오른 학생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안동휘 </t>
    </r>
    <r>
      <rPr>
        <sz val="11"/>
        <rFont val="Arial"/>
        <family val="0"/>
        <charset val="1"/>
      </rPr>
      <t xml:space="preserve">80</t>
    </r>
    <r>
      <rPr>
        <sz val="11"/>
        <rFont val="WenQuanYi Zen Hei"/>
        <family val="2"/>
      </rPr>
      <t xml:space="preserve">점 → </t>
    </r>
    <r>
      <rPr>
        <sz val="11"/>
        <rFont val="Arial"/>
        <family val="0"/>
        <charset val="1"/>
      </rPr>
      <t xml:space="preserve">87</t>
    </r>
    <r>
      <rPr>
        <sz val="11"/>
        <rFont val="WenQuanYi Zen Hei"/>
        <family val="2"/>
      </rPr>
      <t xml:space="preserve">점 </t>
    </r>
    <r>
      <rPr>
        <sz val="11"/>
        <rFont val="Arial"/>
        <family val="0"/>
        <charset val="1"/>
      </rPr>
      <t xml:space="preserve">(+7</t>
    </r>
    <r>
      <rPr>
        <sz val="11"/>
        <rFont val="WenQuanYi Zen Hei"/>
        <family val="2"/>
      </rPr>
      <t xml:space="preserve">점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</si>
  <si>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■ 고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모의고사는 고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보다 어렵지만 첫 시험부터 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명 모두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등급이었고</t>
    </r>
    <r>
      <rPr>
        <sz val="11"/>
        <rFont val="Arial"/>
        <family val="0"/>
        <charset val="1"/>
      </rPr>
      <t xml:space="preserve">, 4</t>
    </r>
    <r>
      <rPr>
        <sz val="11"/>
        <rFont val="WenQuanYi Zen Hei"/>
        <family val="2"/>
      </rPr>
      <t xml:space="preserve">번 내내 반 평균 </t>
    </r>
    <r>
      <rPr>
        <sz val="11"/>
        <rFont val="Arial"/>
        <family val="0"/>
        <charset val="1"/>
      </rPr>
      <t xml:space="preserve">81</t>
    </r>
    <r>
      <rPr>
        <sz val="11"/>
        <rFont val="WenQuanYi Zen Hei"/>
        <family val="2"/>
      </rPr>
      <t xml:space="preserve">점 이상을 유지했습니다</t>
    </r>
    <r>
      <rPr>
        <sz val="11"/>
        <rFont val="Arial"/>
        <family val="0"/>
        <charset val="1"/>
      </rPr>
      <t xml:space="preserve">.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</si>
  <si>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2 3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(2021)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2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</si>
  <si>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2 4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(2021)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2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</si>
  <si>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3 1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(2022)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2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</si>
  <si>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3 2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(2022)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2</t>
    </r>
  </si>
  <si>
    <r>
      <rPr>
        <b val="true"/>
        <sz val="14"/>
        <rFont val="WenQuanYi Zen Hei"/>
        <family val="2"/>
      </rPr>
      <t xml:space="preserve">김건희 반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고</t>
    </r>
    <r>
      <rPr>
        <b val="true"/>
        <sz val="14"/>
        <rFont val="Arial"/>
        <family val="0"/>
        <charset val="1"/>
      </rPr>
      <t xml:space="preserve">3 </t>
    </r>
    <r>
      <rPr>
        <b val="true"/>
        <sz val="14"/>
        <rFont val="WenQuanYi Zen Hei"/>
        <family val="2"/>
      </rPr>
      <t xml:space="preserve">모의고사</t>
    </r>
    <r>
      <rPr>
        <b val="true"/>
        <sz val="14"/>
        <rFont val="Arial"/>
        <family val="0"/>
        <charset val="1"/>
      </rPr>
      <t xml:space="preserve">+</t>
    </r>
    <r>
      <rPr>
        <b val="true"/>
        <sz val="14"/>
        <rFont val="WenQuanYi Zen Hei"/>
        <family val="2"/>
      </rPr>
      <t xml:space="preserve">수능 총점 변화</t>
    </r>
  </si>
  <si>
    <r>
      <rPr>
        <sz val="11"/>
        <rFont val="WenQuanYi Zen Hei"/>
        <family val="2"/>
      </rPr>
      <t xml:space="preserve">■ 시험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회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3 3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(2022)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3,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3 4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(2022) </t>
    </r>
    <r>
      <rPr>
        <sz val="11"/>
        <rFont val="WenQuanYi Zen Hei"/>
        <family val="2"/>
      </rPr>
      <t xml:space="preserve">수능</t>
    </r>
  </si>
  <si>
    <r>
      <rPr>
        <sz val="11"/>
        <rFont val="WenQuanYi Zen Hei"/>
        <family val="2"/>
      </rPr>
      <t xml:space="preserve">■ 반 평균 총점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첫 시험 </t>
    </r>
    <r>
      <rPr>
        <sz val="11"/>
        <rFont val="Arial"/>
        <family val="0"/>
        <charset val="1"/>
      </rPr>
      <t xml:space="preserve">85.3</t>
    </r>
    <r>
      <rPr>
        <sz val="11"/>
        <rFont val="WenQuanYi Zen Hei"/>
        <family val="2"/>
      </rPr>
      <t xml:space="preserve">점 → 마지막 시험 </t>
    </r>
    <r>
      <rPr>
        <sz val="11"/>
        <rFont val="Arial"/>
        <family val="0"/>
        <charset val="1"/>
      </rPr>
      <t xml:space="preserve">87.7</t>
    </r>
    <r>
      <rPr>
        <sz val="11"/>
        <rFont val="WenQuanYi Zen Hei"/>
        <family val="2"/>
      </rPr>
      <t xml:space="preserve">점 </t>
    </r>
    <r>
      <rPr>
        <sz val="11"/>
        <rFont val="Arial"/>
        <family val="0"/>
        <charset val="1"/>
      </rPr>
      <t xml:space="preserve">(+2.4</t>
    </r>
    <r>
      <rPr>
        <sz val="11"/>
        <rFont val="WenQuanYi Zen Hei"/>
        <family val="2"/>
      </rPr>
      <t xml:space="preserve">점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</si>
  <si>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■ 등급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첫 시험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, 2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, 3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명 → 마지막 시험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3</t>
    </r>
    <r>
      <rPr>
        <sz val="11"/>
        <rFont val="WenQuanYi Zen Hei"/>
        <family val="2"/>
      </rPr>
      <t xml:space="preserve">명</t>
    </r>
  </si>
  <si>
    <r>
      <rPr>
        <sz val="11"/>
        <rFont val="WenQuanYi Zen Hei"/>
        <family val="2"/>
      </rPr>
      <t xml:space="preserve">■ 가장 많이 오른 학생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김건희 </t>
    </r>
    <r>
      <rPr>
        <sz val="11"/>
        <rFont val="Arial"/>
        <family val="0"/>
        <charset val="1"/>
      </rPr>
      <t xml:space="preserve">86</t>
    </r>
    <r>
      <rPr>
        <sz val="11"/>
        <rFont val="WenQuanYi Zen Hei"/>
        <family val="2"/>
      </rPr>
      <t xml:space="preserve">점 → </t>
    </r>
    <r>
      <rPr>
        <sz val="11"/>
        <rFont val="Arial"/>
        <family val="0"/>
        <charset val="1"/>
      </rPr>
      <t xml:space="preserve">88</t>
    </r>
    <r>
      <rPr>
        <sz val="11"/>
        <rFont val="WenQuanYi Zen Hei"/>
        <family val="2"/>
      </rPr>
      <t xml:space="preserve">점 </t>
    </r>
    <r>
      <rPr>
        <sz val="11"/>
        <rFont val="Arial"/>
        <family val="0"/>
        <charset val="1"/>
      </rPr>
      <t xml:space="preserve">(+2</t>
    </r>
    <r>
      <rPr>
        <sz val="11"/>
        <rFont val="WenQuanYi Zen Hei"/>
        <family val="2"/>
      </rPr>
      <t xml:space="preserve">점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</si>
  <si>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■ 고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모의고사와 실제 수능 문제에서도 반 평균이 올랐습니다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나민하는 수능 날이 기말고사 기간이라 응시하지 않았습니다</t>
    </r>
    <r>
      <rPr>
        <sz val="11"/>
        <rFont val="Arial"/>
        <family val="0"/>
        <charset val="1"/>
      </rPr>
      <t xml:space="preserve">.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</si>
  <si>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3 3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(2022)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3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</si>
  <si>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3 4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(2022)
</t>
    </r>
    <r>
      <rPr>
        <b val="true"/>
        <sz val="11"/>
        <rFont val="WenQuanYi Zen Hei"/>
        <family val="2"/>
      </rPr>
      <t xml:space="preserve">수능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</si>
</sst>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"/>
    <numFmt numFmtId="167" formatCode="\+0.0;\-0.0;0.0"/>
    <numFmt numFmtId="168" formatCode="General"/>
    <numFmt numFmtId="169" formatCode="\+0;\-0;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sz val="11"/>
      <name val="WenQuanYi Zen Hei"/>
      <family val="2"/>
    </font>
    <font>
      <sz val="11"/>
      <name val="Arial"/>
      <family val="0"/>
      <charset val="1"/>
    </font>
    <font>
      <b val="true"/>
      <sz val="11"/>
      <name val="WenQuanYi Zen Hei"/>
      <family val="2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9"/>
      <color rgb="FF666666"/>
      <name val="WenQuanYi Zen Hei"/>
      <family val="2"/>
    </font>
    <font>
      <sz val="9"/>
      <color rgb="FF666666"/>
      <name val="Arial"/>
      <family val="0"/>
      <charset val="1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0"/>
      <color rgb="FF000000"/>
      <name val="WenQuanYi Zen Hei"/>
      <family val="2"/>
    </font>
    <font>
      <sz val="1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DDE7E4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1E7A72"/>
      <rgbColor rgb="FFBFBFBF"/>
      <rgbColor rgb="FF878787"/>
      <rgbColor rgb="FF9999FF"/>
      <rgbColor rgb="FFBE4B48"/>
      <rgbColor rgb="FFFFF2CC"/>
      <rgbColor rgb="FFCCFFFF"/>
      <rgbColor rgb="FF660066"/>
      <rgbColor rgb="FFFF8080"/>
      <rgbColor rgb="FF0066CC"/>
      <rgbColor rgb="FFC9D6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7E4"/>
      <rgbColor rgb="FFFFFF99"/>
      <rgbColor rgb="FF8FBFB8"/>
      <rgbColor rgb="FFFF99CC"/>
      <rgbColor rgb="FFCC99FF"/>
      <rgbColor rgb="FFD9D9D9"/>
      <rgbColor rgb="FF4A7EBB"/>
      <rgbColor rgb="FF33CCCC"/>
      <rgbColor rgb="FF98B855"/>
      <rgbColor rgb="FFFFCC00"/>
      <rgbColor rgb="FFFF9900"/>
      <rgbColor rgb="FFFF6600"/>
      <rgbColor rgb="FF7D5FA0"/>
      <rgbColor rgb="FFA6B8B4"/>
      <rgbColor rgb="FF003366"/>
      <rgbColor rgb="FF3E9A90"/>
      <rgbColor rgb="FF003300"/>
      <rgbColor rgb="FF333300"/>
      <rgbColor rgb="FF993300"/>
      <rgbColor rgb="FF993366"/>
      <rgbColor rgb="FF333399"/>
      <rgbColor rgb="FF1740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시험 수준별 반 평균 총점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e7a72"/>
            </a:solidFill>
            <a:ln w="0">
              <a:noFill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'총점 성장 요약'!$B$9:$E$9</c:f>
              <c:strCache>
                <c:ptCount val="4"/>
                <c:pt idx="0">
                  <c:v>중1 첫 시험</c:v>
                </c:pt>
                <c:pt idx="1">
                  <c:v>고1 모의고사
평균</c:v>
                </c:pt>
                <c:pt idx="2">
                  <c:v>고2 모의고사
평균</c:v>
                </c:pt>
                <c:pt idx="3">
                  <c:v>고3 모의고사+수능
평균</c:v>
                </c:pt>
              </c:strCache>
            </c:strRef>
          </c:cat>
          <c:val>
            <c:numRef>
              <c:f>'총점 성장 요약'!$B$14:$E$14</c:f>
              <c:numCache>
                <c:formatCode>0.0</c:formatCode>
                <c:ptCount val="4"/>
                <c:pt idx="0">
                  <c:v>62.75</c:v>
                </c:pt>
                <c:pt idx="1">
                  <c:v>77.0714285714286</c:v>
                </c:pt>
                <c:pt idx="2">
                  <c:v>82.9375</c:v>
                </c:pt>
                <c:pt idx="3">
                  <c:v>86.2857142857143</c:v>
                </c:pt>
              </c:numCache>
            </c:numRef>
          </c:val>
        </c:ser>
        <c:gapWidth val="150"/>
        <c:overlap val="0"/>
        <c:axId val="57142609"/>
        <c:axId val="24612484"/>
      </c:barChart>
      <c:catAx>
        <c:axId val="571426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612484"/>
        <c:crosses val="autoZero"/>
        <c:auto val="1"/>
        <c:lblAlgn val="ctr"/>
        <c:lblOffset val="100"/>
        <c:noMultiLvlLbl val="0"/>
      </c:catAx>
      <c:valAx>
        <c:axId val="24612484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1426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학생별 시험 수준 평균 총점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'총점 성장 요약'!B9</c:f>
              <c:strCache>
                <c:ptCount val="1"/>
                <c:pt idx="0">
                  <c:v>중1 첫 시험</c:v>
                </c:pt>
              </c:strCache>
            </c:strRef>
          </c:tx>
          <c:spPr>
            <a:solidFill>
              <a:srgbClr val="c9d6d2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'총점 성장 요약'!$A$10:$A$13</c:f>
              <c:strCache>
                <c:ptCount val="4"/>
                <c:pt idx="0">
                  <c:v>김건희</c:v>
                </c:pt>
                <c:pt idx="1">
                  <c:v>안도후</c:v>
                </c:pt>
                <c:pt idx="2">
                  <c:v>안동휘</c:v>
                </c:pt>
                <c:pt idx="3">
                  <c:v>나민하</c:v>
                </c:pt>
              </c:strCache>
            </c:strRef>
          </c:cat>
          <c:val>
            <c:numRef>
              <c:f>'총점 성장 요약'!$B$10:$B$13</c:f>
              <c:numCache>
                <c:formatCode>0</c:formatCode>
                <c:ptCount val="4"/>
                <c:pt idx="0">
                  <c:v>69</c:v>
                </c:pt>
                <c:pt idx="1">
                  <c:v>67</c:v>
                </c:pt>
                <c:pt idx="2">
                  <c:v>58</c:v>
                </c:pt>
                <c:pt idx="3">
                  <c:v>57</c:v>
                </c:pt>
              </c:numCache>
            </c:numRef>
          </c:val>
        </c:ser>
        <c:ser>
          <c:idx val="1"/>
          <c:order val="1"/>
          <c:tx>
            <c:strRef>
              <c:f>'총점 성장 요약'!C9</c:f>
              <c:strCache>
                <c:ptCount val="1"/>
                <c:pt idx="0">
                  <c:v>고1 모의고사
평균</c:v>
                </c:pt>
              </c:strCache>
            </c:strRef>
          </c:tx>
          <c:spPr>
            <a:solidFill>
              <a:srgbClr val="8fbfb8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'총점 성장 요약'!$A$10:$A$13</c:f>
              <c:strCache>
                <c:ptCount val="4"/>
                <c:pt idx="0">
                  <c:v>김건희</c:v>
                </c:pt>
                <c:pt idx="1">
                  <c:v>안도후</c:v>
                </c:pt>
                <c:pt idx="2">
                  <c:v>안동휘</c:v>
                </c:pt>
                <c:pt idx="3">
                  <c:v>나민하</c:v>
                </c:pt>
              </c:strCache>
            </c:strRef>
          </c:cat>
          <c:val>
            <c:numRef>
              <c:f>'총점 성장 요약'!$C$10:$C$13</c:f>
              <c:numCache>
                <c:formatCode>0.0</c:formatCode>
                <c:ptCount val="4"/>
                <c:pt idx="0">
                  <c:v>80</c:v>
                </c:pt>
                <c:pt idx="1">
                  <c:v>78</c:v>
                </c:pt>
                <c:pt idx="2">
                  <c:v>75.4285714285714</c:v>
                </c:pt>
                <c:pt idx="3">
                  <c:v>74.8571428571429</c:v>
                </c:pt>
              </c:numCache>
            </c:numRef>
          </c:val>
        </c:ser>
        <c:ser>
          <c:idx val="2"/>
          <c:order val="2"/>
          <c:tx>
            <c:strRef>
              <c:f>'총점 성장 요약'!D9</c:f>
              <c:strCache>
                <c:ptCount val="1"/>
                <c:pt idx="0">
                  <c:v>고2 모의고사
평균</c:v>
                </c:pt>
              </c:strCache>
            </c:strRef>
          </c:tx>
          <c:spPr>
            <a:solidFill>
              <a:srgbClr val="3e9a90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'총점 성장 요약'!$A$10:$A$13</c:f>
              <c:strCache>
                <c:ptCount val="4"/>
                <c:pt idx="0">
                  <c:v>김건희</c:v>
                </c:pt>
                <c:pt idx="1">
                  <c:v>안도후</c:v>
                </c:pt>
                <c:pt idx="2">
                  <c:v>안동휘</c:v>
                </c:pt>
                <c:pt idx="3">
                  <c:v>나민하</c:v>
                </c:pt>
              </c:strCache>
            </c:strRef>
          </c:cat>
          <c:val>
            <c:numRef>
              <c:f>'총점 성장 요약'!$D$10:$D$13</c:f>
              <c:numCache>
                <c:formatCode>0.0</c:formatCode>
                <c:ptCount val="4"/>
                <c:pt idx="0">
                  <c:v>84.25</c:v>
                </c:pt>
                <c:pt idx="1">
                  <c:v>79.5</c:v>
                </c:pt>
                <c:pt idx="2">
                  <c:v>84.75</c:v>
                </c:pt>
                <c:pt idx="3">
                  <c:v>83.25</c:v>
                </c:pt>
              </c:numCache>
            </c:numRef>
          </c:val>
        </c:ser>
        <c:ser>
          <c:idx val="3"/>
          <c:order val="3"/>
          <c:tx>
            <c:strRef>
              <c:f>'총점 성장 요약'!E9</c:f>
              <c:strCache>
                <c:ptCount val="1"/>
                <c:pt idx="0">
                  <c:v>고3 모의고사+수능
평균</c:v>
                </c:pt>
              </c:strCache>
            </c:strRef>
          </c:tx>
          <c:spPr>
            <a:solidFill>
              <a:srgbClr val="17403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'총점 성장 요약'!$A$10:$A$13</c:f>
              <c:strCache>
                <c:ptCount val="4"/>
                <c:pt idx="0">
                  <c:v>김건희</c:v>
                </c:pt>
                <c:pt idx="1">
                  <c:v>안도후</c:v>
                </c:pt>
                <c:pt idx="2">
                  <c:v>안동휘</c:v>
                </c:pt>
                <c:pt idx="3">
                  <c:v>나민하</c:v>
                </c:pt>
              </c:strCache>
            </c:strRef>
          </c:cat>
          <c:val>
            <c:numRef>
              <c:f>'총점 성장 요약'!$E$10:$E$13</c:f>
              <c:numCache>
                <c:formatCode>0.0</c:formatCode>
                <c:ptCount val="4"/>
                <c:pt idx="0">
                  <c:v>87</c:v>
                </c:pt>
                <c:pt idx="1">
                  <c:v>88</c:v>
                </c:pt>
                <c:pt idx="2">
                  <c:v>90</c:v>
                </c:pt>
                <c:pt idx="3">
                  <c:v>74</c:v>
                </c:pt>
              </c:numCache>
            </c:numRef>
          </c:val>
        </c:ser>
        <c:gapWidth val="150"/>
        <c:overlap val="0"/>
        <c:axId val="61799606"/>
        <c:axId val="17684708"/>
      </c:barChart>
      <c:catAx>
        <c:axId val="617996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684708"/>
        <c:crosses val="autoZero"/>
        <c:auto val="1"/>
        <c:lblAlgn val="ctr"/>
        <c:lblOffset val="100"/>
        <c:noMultiLvlLbl val="0"/>
      </c:catAx>
      <c:valAx>
        <c:axId val="17684708"/>
        <c:scaling>
          <c:orientation val="minMax"/>
          <c:max val="100"/>
          <c:min val="5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7996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고1 모의고사 · 총점 (반 평균 = 굵은 선)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'고1 모의고사'!A10</c:f>
              <c:strCache>
                <c:ptCount val="1"/>
                <c:pt idx="0">
                  <c:v>김건희</c:v>
                </c:pt>
              </c:strCache>
            </c:strRef>
          </c:tx>
          <c:spPr>
            <a:solidFill>
              <a:srgbClr val="4a7ebb"/>
            </a:solidFill>
            <a:ln w="1908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모의고사'!$B$9:$H$9</c:f>
              <c:strCache>
                <c:ptCount val="7"/>
                <c:pt idx="0">
                  <c:v>중1 1차 (2020)
고1</c:v>
                </c:pt>
                <c:pt idx="1">
                  <c:v>중1 2차 (2020)
고1</c:v>
                </c:pt>
                <c:pt idx="2">
                  <c:v>중1 3차 (2020)
고1</c:v>
                </c:pt>
                <c:pt idx="3">
                  <c:v>중1 4차 (2020)
고1</c:v>
                </c:pt>
                <c:pt idx="4">
                  <c:v>중1 5차 (2020)
고1</c:v>
                </c:pt>
                <c:pt idx="5">
                  <c:v>중2 1차 (2021)
수준 표기 없음</c:v>
                </c:pt>
                <c:pt idx="6">
                  <c:v>중2 2차 (2021)
수준 표기 없음</c:v>
                </c:pt>
              </c:strCache>
            </c:strRef>
          </c:cat>
          <c:val>
            <c:numRef>
              <c:f>'고1 모의고사'!$B$10:$H$10</c:f>
              <c:numCache>
                <c:formatCode>General</c:formatCode>
                <c:ptCount val="7"/>
                <c:pt idx="0">
                  <c:v>69</c:v>
                </c:pt>
                <c:pt idx="1">
                  <c:v>75</c:v>
                </c:pt>
                <c:pt idx="2">
                  <c:v>76</c:v>
                </c:pt>
                <c:pt idx="3">
                  <c:v>90</c:v>
                </c:pt>
                <c:pt idx="4">
                  <c:v>73</c:v>
                </c:pt>
                <c:pt idx="5">
                  <c:v>82</c:v>
                </c:pt>
                <c:pt idx="6">
                  <c:v>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'고1 모의고사'!A11</c:f>
              <c:strCache>
                <c:ptCount val="1"/>
                <c:pt idx="0">
                  <c:v>안도후</c:v>
                </c:pt>
              </c:strCache>
            </c:strRef>
          </c:tx>
          <c:spPr>
            <a:solidFill>
              <a:srgbClr val="be4b48"/>
            </a:solidFill>
            <a:ln w="19080">
              <a:solidFill>
                <a:srgbClr val="be4b48"/>
              </a:solidFill>
              <a:round/>
            </a:ln>
          </c:spPr>
          <c:marker>
            <c:symbol val="circle"/>
            <c:size val="6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모의고사'!$B$9:$H$9</c:f>
              <c:strCache>
                <c:ptCount val="7"/>
                <c:pt idx="0">
                  <c:v>중1 1차 (2020)
고1</c:v>
                </c:pt>
                <c:pt idx="1">
                  <c:v>중1 2차 (2020)
고1</c:v>
                </c:pt>
                <c:pt idx="2">
                  <c:v>중1 3차 (2020)
고1</c:v>
                </c:pt>
                <c:pt idx="3">
                  <c:v>중1 4차 (2020)
고1</c:v>
                </c:pt>
                <c:pt idx="4">
                  <c:v>중1 5차 (2020)
고1</c:v>
                </c:pt>
                <c:pt idx="5">
                  <c:v>중2 1차 (2021)
수준 표기 없음</c:v>
                </c:pt>
                <c:pt idx="6">
                  <c:v>중2 2차 (2021)
수준 표기 없음</c:v>
                </c:pt>
              </c:strCache>
            </c:strRef>
          </c:cat>
          <c:val>
            <c:numRef>
              <c:f>'고1 모의고사'!$B$11:$H$11</c:f>
              <c:numCache>
                <c:formatCode>General</c:formatCode>
                <c:ptCount val="7"/>
                <c:pt idx="0">
                  <c:v>67</c:v>
                </c:pt>
                <c:pt idx="1">
                  <c:v>66</c:v>
                </c:pt>
                <c:pt idx="2">
                  <c:v>72</c:v>
                </c:pt>
                <c:pt idx="3">
                  <c:v>81</c:v>
                </c:pt>
                <c:pt idx="4">
                  <c:v>84</c:v>
                </c:pt>
                <c:pt idx="5">
                  <c:v>83</c:v>
                </c:pt>
                <c:pt idx="6">
                  <c:v>93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'고1 모의고사'!A12</c:f>
              <c:strCache>
                <c:ptCount val="1"/>
                <c:pt idx="0">
                  <c:v>안동휘</c:v>
                </c:pt>
              </c:strCache>
            </c:strRef>
          </c:tx>
          <c:spPr>
            <a:solidFill>
              <a:srgbClr val="98b855"/>
            </a:solidFill>
            <a:ln w="19080">
              <a:solidFill>
                <a:srgbClr val="98b855"/>
              </a:solidFill>
              <a:round/>
            </a:ln>
          </c:spPr>
          <c:marker>
            <c:symbol val="circle"/>
            <c:size val="6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모의고사'!$B$9:$H$9</c:f>
              <c:strCache>
                <c:ptCount val="7"/>
                <c:pt idx="0">
                  <c:v>중1 1차 (2020)
고1</c:v>
                </c:pt>
                <c:pt idx="1">
                  <c:v>중1 2차 (2020)
고1</c:v>
                </c:pt>
                <c:pt idx="2">
                  <c:v>중1 3차 (2020)
고1</c:v>
                </c:pt>
                <c:pt idx="3">
                  <c:v>중1 4차 (2020)
고1</c:v>
                </c:pt>
                <c:pt idx="4">
                  <c:v>중1 5차 (2020)
고1</c:v>
                </c:pt>
                <c:pt idx="5">
                  <c:v>중2 1차 (2021)
수준 표기 없음</c:v>
                </c:pt>
                <c:pt idx="6">
                  <c:v>중2 2차 (2021)
수준 표기 없음</c:v>
                </c:pt>
              </c:strCache>
            </c:strRef>
          </c:cat>
          <c:val>
            <c:numRef>
              <c:f>'고1 모의고사'!$B$12:$H$12</c:f>
              <c:numCache>
                <c:formatCode>General</c:formatCode>
                <c:ptCount val="7"/>
                <c:pt idx="0">
                  <c:v>58</c:v>
                </c:pt>
                <c:pt idx="1">
                  <c:v>73</c:v>
                </c:pt>
                <c:pt idx="2">
                  <c:v>75</c:v>
                </c:pt>
                <c:pt idx="3">
                  <c:v>78</c:v>
                </c:pt>
                <c:pt idx="4">
                  <c:v>77</c:v>
                </c:pt>
                <c:pt idx="5">
                  <c:v>77</c:v>
                </c:pt>
                <c:pt idx="6">
                  <c:v>90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'고1 모의고사'!A13</c:f>
              <c:strCache>
                <c:ptCount val="1"/>
                <c:pt idx="0">
                  <c:v>나민하</c:v>
                </c:pt>
              </c:strCache>
            </c:strRef>
          </c:tx>
          <c:spPr>
            <a:solidFill>
              <a:srgbClr val="7d5fa0"/>
            </a:solidFill>
            <a:ln w="19080">
              <a:solidFill>
                <a:srgbClr val="7d5fa0"/>
              </a:solidFill>
              <a:round/>
            </a:ln>
          </c:spPr>
          <c:marker>
            <c:symbol val="circle"/>
            <c:size val="6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모의고사'!$B$9:$H$9</c:f>
              <c:strCache>
                <c:ptCount val="7"/>
                <c:pt idx="0">
                  <c:v>중1 1차 (2020)
고1</c:v>
                </c:pt>
                <c:pt idx="1">
                  <c:v>중1 2차 (2020)
고1</c:v>
                </c:pt>
                <c:pt idx="2">
                  <c:v>중1 3차 (2020)
고1</c:v>
                </c:pt>
                <c:pt idx="3">
                  <c:v>중1 4차 (2020)
고1</c:v>
                </c:pt>
                <c:pt idx="4">
                  <c:v>중1 5차 (2020)
고1</c:v>
                </c:pt>
                <c:pt idx="5">
                  <c:v>중2 1차 (2021)
수준 표기 없음</c:v>
                </c:pt>
                <c:pt idx="6">
                  <c:v>중2 2차 (2021)
수준 표기 없음</c:v>
                </c:pt>
              </c:strCache>
            </c:strRef>
          </c:cat>
          <c:val>
            <c:numRef>
              <c:f>'고1 모의고사'!$B$13:$H$13</c:f>
              <c:numCache>
                <c:formatCode>General</c:formatCode>
                <c:ptCount val="7"/>
                <c:pt idx="0">
                  <c:v>57</c:v>
                </c:pt>
                <c:pt idx="1">
                  <c:v>79</c:v>
                </c:pt>
                <c:pt idx="2">
                  <c:v>76</c:v>
                </c:pt>
                <c:pt idx="3">
                  <c:v>71</c:v>
                </c:pt>
                <c:pt idx="4">
                  <c:v>80</c:v>
                </c:pt>
                <c:pt idx="5">
                  <c:v>74</c:v>
                </c:pt>
                <c:pt idx="6">
                  <c:v>87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'고1 모의고사'!A14</c:f>
              <c:strCache>
                <c:ptCount val="1"/>
                <c:pt idx="0">
                  <c:v>반 평균</c:v>
                </c:pt>
              </c:strCache>
            </c:strRef>
          </c:tx>
          <c:spPr>
            <a:solidFill>
              <a:srgbClr val="000000"/>
            </a:solidFill>
            <a:ln w="57240">
              <a:solidFill>
                <a:srgbClr val="000000"/>
              </a:solidFill>
              <a:round/>
            </a:ln>
          </c:spPr>
          <c:marker>
            <c:symbol val="circle"/>
            <c:size val="9"/>
            <c:spPr>
              <a:solidFill>
                <a:srgbClr val="000000"/>
              </a:solidFill>
            </c:spPr>
          </c:marker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모의고사'!$B$9:$H$9</c:f>
              <c:strCache>
                <c:ptCount val="7"/>
                <c:pt idx="0">
                  <c:v>중1 1차 (2020)
고1</c:v>
                </c:pt>
                <c:pt idx="1">
                  <c:v>중1 2차 (2020)
고1</c:v>
                </c:pt>
                <c:pt idx="2">
                  <c:v>중1 3차 (2020)
고1</c:v>
                </c:pt>
                <c:pt idx="3">
                  <c:v>중1 4차 (2020)
고1</c:v>
                </c:pt>
                <c:pt idx="4">
                  <c:v>중1 5차 (2020)
고1</c:v>
                </c:pt>
                <c:pt idx="5">
                  <c:v>중2 1차 (2021)
수준 표기 없음</c:v>
                </c:pt>
                <c:pt idx="6">
                  <c:v>중2 2차 (2021)
수준 표기 없음</c:v>
                </c:pt>
              </c:strCache>
            </c:strRef>
          </c:cat>
          <c:val>
            <c:numRef>
              <c:f>'고1 모의고사'!$B$14:$H$14</c:f>
              <c:numCache>
                <c:formatCode>0.0</c:formatCode>
                <c:ptCount val="7"/>
                <c:pt idx="0">
                  <c:v>62.75</c:v>
                </c:pt>
                <c:pt idx="1">
                  <c:v>73.25</c:v>
                </c:pt>
                <c:pt idx="2">
                  <c:v>74.75</c:v>
                </c:pt>
                <c:pt idx="3">
                  <c:v>80</c:v>
                </c:pt>
                <c:pt idx="4">
                  <c:v>78.5</c:v>
                </c:pt>
                <c:pt idx="5">
                  <c:v>79</c:v>
                </c:pt>
                <c:pt idx="6">
                  <c:v>91.25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0175411"/>
        <c:axId val="69611161"/>
      </c:lineChart>
      <c:catAx>
        <c:axId val="301754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611161"/>
        <c:crosses val="autoZero"/>
        <c:auto val="1"/>
        <c:lblAlgn val="ctr"/>
        <c:lblOffset val="100"/>
        <c:noMultiLvlLbl val="0"/>
      </c:catAx>
      <c:valAx>
        <c:axId val="69611161"/>
        <c:scaling>
          <c:orientation val="minMax"/>
          <c:max val="100"/>
          <c:min val="5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총점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175411"/>
        <c:crosses val="autoZero"/>
        <c:crossBetween val="between"/>
        <c:majorUnit val="10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고1 모의고사 · 첫 시험 vs 마지막 시험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'고1 모의고사'!I9</c:f>
              <c:strCache>
                <c:ptCount val="1"/>
                <c:pt idx="0">
                  <c:v>첫 시험</c:v>
                </c:pt>
              </c:strCache>
            </c:strRef>
          </c:tx>
          <c:spPr>
            <a:solidFill>
              <a:srgbClr val="a6b8b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모의고사'!$A$10:$A$14</c:f>
              <c:strCache>
                <c:ptCount val="5"/>
                <c:pt idx="0">
                  <c:v>김건희</c:v>
                </c:pt>
                <c:pt idx="1">
                  <c:v>안도후</c:v>
                </c:pt>
                <c:pt idx="2">
                  <c:v>안동휘</c:v>
                </c:pt>
                <c:pt idx="3">
                  <c:v>나민하</c:v>
                </c:pt>
                <c:pt idx="4">
                  <c:v>반 평균</c:v>
                </c:pt>
              </c:strCache>
            </c:strRef>
          </c:cat>
          <c:val>
            <c:numRef>
              <c:f>'고1 모의고사'!$I$10:$I$14</c:f>
              <c:numCache>
                <c:formatCode>General</c:formatCode>
                <c:ptCount val="5"/>
                <c:pt idx="0">
                  <c:v>69</c:v>
                </c:pt>
                <c:pt idx="1">
                  <c:v>67</c:v>
                </c:pt>
                <c:pt idx="2">
                  <c:v>58</c:v>
                </c:pt>
                <c:pt idx="3">
                  <c:v>57</c:v>
                </c:pt>
                <c:pt idx="4">
                  <c:v>62.75</c:v>
                </c:pt>
              </c:numCache>
            </c:numRef>
          </c:val>
        </c:ser>
        <c:ser>
          <c:idx val="1"/>
          <c:order val="1"/>
          <c:tx>
            <c:strRef>
              <c:f>'고1 모의고사'!J9</c:f>
              <c:strCache>
                <c:ptCount val="1"/>
                <c:pt idx="0">
                  <c:v>마지막 시험</c:v>
                </c:pt>
              </c:strCache>
            </c:strRef>
          </c:tx>
          <c:spPr>
            <a:solidFill>
              <a:srgbClr val="1e7a7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모의고사'!$A$10:$A$14</c:f>
              <c:strCache>
                <c:ptCount val="5"/>
                <c:pt idx="0">
                  <c:v>김건희</c:v>
                </c:pt>
                <c:pt idx="1">
                  <c:v>안도후</c:v>
                </c:pt>
                <c:pt idx="2">
                  <c:v>안동휘</c:v>
                </c:pt>
                <c:pt idx="3">
                  <c:v>나민하</c:v>
                </c:pt>
                <c:pt idx="4">
                  <c:v>반 평균</c:v>
                </c:pt>
              </c:strCache>
            </c:strRef>
          </c:cat>
          <c:val>
            <c:numRef>
              <c:f>'고1 모의고사'!$J$10:$J$14</c:f>
              <c:numCache>
                <c:formatCode>General</c:formatCode>
                <c:ptCount val="5"/>
                <c:pt idx="0">
                  <c:v>95</c:v>
                </c:pt>
                <c:pt idx="1">
                  <c:v>93</c:v>
                </c:pt>
                <c:pt idx="2">
                  <c:v>90</c:v>
                </c:pt>
                <c:pt idx="3">
                  <c:v>87</c:v>
                </c:pt>
                <c:pt idx="4">
                  <c:v>91.25</c:v>
                </c:pt>
              </c:numCache>
            </c:numRef>
          </c:val>
        </c:ser>
        <c:gapWidth val="150"/>
        <c:overlap val="0"/>
        <c:axId val="14442490"/>
        <c:axId val="12384516"/>
      </c:barChart>
      <c:catAx>
        <c:axId val="144424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384516"/>
        <c:crosses val="autoZero"/>
        <c:auto val="1"/>
        <c:lblAlgn val="ctr"/>
        <c:lblOffset val="100"/>
        <c:noMultiLvlLbl val="0"/>
      </c:catAx>
      <c:valAx>
        <c:axId val="12384516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4424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고2 모의고사 · 총점 (반 평균 = 굵은 선)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'고2 모의고사'!A10</c:f>
              <c:strCache>
                <c:ptCount val="1"/>
                <c:pt idx="0">
                  <c:v>김건희</c:v>
                </c:pt>
              </c:strCache>
            </c:strRef>
          </c:tx>
          <c:spPr>
            <a:solidFill>
              <a:srgbClr val="4a7ebb"/>
            </a:solidFill>
            <a:ln w="1908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모의고사'!$B$9:$E$9</c:f>
              <c:strCache>
                <c:ptCount val="4"/>
                <c:pt idx="0">
                  <c:v>중2 3차 (2021)
고2</c:v>
                </c:pt>
                <c:pt idx="1">
                  <c:v>중2 4차 (2021)
고2</c:v>
                </c:pt>
                <c:pt idx="2">
                  <c:v>중3 1차 (2022)
고2</c:v>
                </c:pt>
                <c:pt idx="3">
                  <c:v>중3 2차 (2022)
고2</c:v>
                </c:pt>
              </c:strCache>
            </c:strRef>
          </c:cat>
          <c:val>
            <c:numRef>
              <c:f>'고2 모의고사'!$B$10:$E$10</c:f>
              <c:numCache>
                <c:formatCode>General</c:formatCode>
                <c:ptCount val="4"/>
                <c:pt idx="0">
                  <c:v>87</c:v>
                </c:pt>
                <c:pt idx="1">
                  <c:v>86</c:v>
                </c:pt>
                <c:pt idx="2">
                  <c:v>80</c:v>
                </c:pt>
                <c:pt idx="3">
                  <c:v>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'고2 모의고사'!A11</c:f>
              <c:strCache>
                <c:ptCount val="1"/>
                <c:pt idx="0">
                  <c:v>안도후</c:v>
                </c:pt>
              </c:strCache>
            </c:strRef>
          </c:tx>
          <c:spPr>
            <a:solidFill>
              <a:srgbClr val="be4b48"/>
            </a:solidFill>
            <a:ln w="19080">
              <a:solidFill>
                <a:srgbClr val="be4b48"/>
              </a:solidFill>
              <a:round/>
            </a:ln>
          </c:spPr>
          <c:marker>
            <c:symbol val="circle"/>
            <c:size val="6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모의고사'!$B$9:$E$9</c:f>
              <c:strCache>
                <c:ptCount val="4"/>
                <c:pt idx="0">
                  <c:v>중2 3차 (2021)
고2</c:v>
                </c:pt>
                <c:pt idx="1">
                  <c:v>중2 4차 (2021)
고2</c:v>
                </c:pt>
                <c:pt idx="2">
                  <c:v>중3 1차 (2022)
고2</c:v>
                </c:pt>
                <c:pt idx="3">
                  <c:v>중3 2차 (2022)
고2</c:v>
                </c:pt>
              </c:strCache>
            </c:strRef>
          </c:cat>
          <c:val>
            <c:numRef>
              <c:f>'고2 모의고사'!$B$11:$E$11</c:f>
              <c:numCache>
                <c:formatCode>General</c:formatCode>
                <c:ptCount val="4"/>
                <c:pt idx="0">
                  <c:v>82</c:v>
                </c:pt>
                <c:pt idx="1">
                  <c:v>77</c:v>
                </c:pt>
                <c:pt idx="2">
                  <c:v>79</c:v>
                </c:pt>
                <c:pt idx="3">
                  <c:v>80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'고2 모의고사'!A12</c:f>
              <c:strCache>
                <c:ptCount val="1"/>
                <c:pt idx="0">
                  <c:v>안동휘</c:v>
                </c:pt>
              </c:strCache>
            </c:strRef>
          </c:tx>
          <c:spPr>
            <a:solidFill>
              <a:srgbClr val="98b855"/>
            </a:solidFill>
            <a:ln w="19080">
              <a:solidFill>
                <a:srgbClr val="98b855"/>
              </a:solidFill>
              <a:round/>
            </a:ln>
          </c:spPr>
          <c:marker>
            <c:symbol val="circle"/>
            <c:size val="6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모의고사'!$B$9:$E$9</c:f>
              <c:strCache>
                <c:ptCount val="4"/>
                <c:pt idx="0">
                  <c:v>중2 3차 (2021)
고2</c:v>
                </c:pt>
                <c:pt idx="1">
                  <c:v>중2 4차 (2021)
고2</c:v>
                </c:pt>
                <c:pt idx="2">
                  <c:v>중3 1차 (2022)
고2</c:v>
                </c:pt>
                <c:pt idx="3">
                  <c:v>중3 2차 (2022)
고2</c:v>
                </c:pt>
              </c:strCache>
            </c:strRef>
          </c:cat>
          <c:val>
            <c:numRef>
              <c:f>'고2 모의고사'!$B$12:$E$12</c:f>
              <c:numCache>
                <c:formatCode>General</c:formatCode>
                <c:ptCount val="4"/>
                <c:pt idx="0">
                  <c:v>80</c:v>
                </c:pt>
                <c:pt idx="1">
                  <c:v>81</c:v>
                </c:pt>
                <c:pt idx="2">
                  <c:v>91</c:v>
                </c:pt>
                <c:pt idx="3">
                  <c:v>87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'고2 모의고사'!A13</c:f>
              <c:strCache>
                <c:ptCount val="1"/>
                <c:pt idx="0">
                  <c:v>나민하</c:v>
                </c:pt>
              </c:strCache>
            </c:strRef>
          </c:tx>
          <c:spPr>
            <a:solidFill>
              <a:srgbClr val="7d5fa0"/>
            </a:solidFill>
            <a:ln w="19080">
              <a:solidFill>
                <a:srgbClr val="7d5fa0"/>
              </a:solidFill>
              <a:round/>
            </a:ln>
          </c:spPr>
          <c:marker>
            <c:symbol val="circle"/>
            <c:size val="6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모의고사'!$B$9:$E$9</c:f>
              <c:strCache>
                <c:ptCount val="4"/>
                <c:pt idx="0">
                  <c:v>중2 3차 (2021)
고2</c:v>
                </c:pt>
                <c:pt idx="1">
                  <c:v>중2 4차 (2021)
고2</c:v>
                </c:pt>
                <c:pt idx="2">
                  <c:v>중3 1차 (2022)
고2</c:v>
                </c:pt>
                <c:pt idx="3">
                  <c:v>중3 2차 (2022)
고2</c:v>
                </c:pt>
              </c:strCache>
            </c:strRef>
          </c:cat>
          <c:val>
            <c:numRef>
              <c:f>'고2 모의고사'!$B$13:$E$13</c:f>
              <c:numCache>
                <c:formatCode>General</c:formatCode>
                <c:ptCount val="4"/>
                <c:pt idx="0">
                  <c:v>84</c:v>
                </c:pt>
                <c:pt idx="1">
                  <c:v>89</c:v>
                </c:pt>
                <c:pt idx="2">
                  <c:v>74</c:v>
                </c:pt>
                <c:pt idx="3">
                  <c:v>86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'고2 모의고사'!A14</c:f>
              <c:strCache>
                <c:ptCount val="1"/>
                <c:pt idx="0">
                  <c:v>반 평균</c:v>
                </c:pt>
              </c:strCache>
            </c:strRef>
          </c:tx>
          <c:spPr>
            <a:solidFill>
              <a:srgbClr val="000000"/>
            </a:solidFill>
            <a:ln w="57240">
              <a:solidFill>
                <a:srgbClr val="000000"/>
              </a:solidFill>
              <a:round/>
            </a:ln>
          </c:spPr>
          <c:marker>
            <c:symbol val="circle"/>
            <c:size val="9"/>
            <c:spPr>
              <a:solidFill>
                <a:srgbClr val="000000"/>
              </a:solidFill>
            </c:spPr>
          </c:marker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모의고사'!$B$9:$E$9</c:f>
              <c:strCache>
                <c:ptCount val="4"/>
                <c:pt idx="0">
                  <c:v>중2 3차 (2021)
고2</c:v>
                </c:pt>
                <c:pt idx="1">
                  <c:v>중2 4차 (2021)
고2</c:v>
                </c:pt>
                <c:pt idx="2">
                  <c:v>중3 1차 (2022)
고2</c:v>
                </c:pt>
                <c:pt idx="3">
                  <c:v>중3 2차 (2022)
고2</c:v>
                </c:pt>
              </c:strCache>
            </c:strRef>
          </c:cat>
          <c:val>
            <c:numRef>
              <c:f>'고2 모의고사'!$B$14:$E$14</c:f>
              <c:numCache>
                <c:formatCode>0.0</c:formatCode>
                <c:ptCount val="4"/>
                <c:pt idx="0">
                  <c:v>83.25</c:v>
                </c:pt>
                <c:pt idx="1">
                  <c:v>83.25</c:v>
                </c:pt>
                <c:pt idx="2">
                  <c:v>81</c:v>
                </c:pt>
                <c:pt idx="3">
                  <c:v>84.25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9847309"/>
        <c:axId val="57595208"/>
      </c:lineChart>
      <c:catAx>
        <c:axId val="798473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595208"/>
        <c:crosses val="autoZero"/>
        <c:auto val="1"/>
        <c:lblAlgn val="ctr"/>
        <c:lblOffset val="100"/>
        <c:noMultiLvlLbl val="0"/>
      </c:catAx>
      <c:valAx>
        <c:axId val="57595208"/>
        <c:scaling>
          <c:orientation val="minMax"/>
          <c:max val="100"/>
          <c:min val="5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총점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47309"/>
        <c:crosses val="autoZero"/>
        <c:crossBetween val="between"/>
        <c:majorUnit val="10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고2 모의고사 · 첫 시험 vs 마지막 시험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'고2 모의고사'!F9</c:f>
              <c:strCache>
                <c:ptCount val="1"/>
                <c:pt idx="0">
                  <c:v>첫 시험</c:v>
                </c:pt>
              </c:strCache>
            </c:strRef>
          </c:tx>
          <c:spPr>
            <a:solidFill>
              <a:srgbClr val="a6b8b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모의고사'!$A$10:$A$14</c:f>
              <c:strCache>
                <c:ptCount val="5"/>
                <c:pt idx="0">
                  <c:v>김건희</c:v>
                </c:pt>
                <c:pt idx="1">
                  <c:v>안도후</c:v>
                </c:pt>
                <c:pt idx="2">
                  <c:v>안동휘</c:v>
                </c:pt>
                <c:pt idx="3">
                  <c:v>나민하</c:v>
                </c:pt>
                <c:pt idx="4">
                  <c:v>반 평균</c:v>
                </c:pt>
              </c:strCache>
            </c:strRef>
          </c:cat>
          <c:val>
            <c:numRef>
              <c:f>'고2 모의고사'!$F$10:$F$14</c:f>
              <c:numCache>
                <c:formatCode>General</c:formatCode>
                <c:ptCount val="5"/>
                <c:pt idx="0">
                  <c:v>87</c:v>
                </c:pt>
                <c:pt idx="1">
                  <c:v>82</c:v>
                </c:pt>
                <c:pt idx="2">
                  <c:v>80</c:v>
                </c:pt>
                <c:pt idx="3">
                  <c:v>84</c:v>
                </c:pt>
                <c:pt idx="4">
                  <c:v>83.25</c:v>
                </c:pt>
              </c:numCache>
            </c:numRef>
          </c:val>
        </c:ser>
        <c:ser>
          <c:idx val="1"/>
          <c:order val="1"/>
          <c:tx>
            <c:strRef>
              <c:f>'고2 모의고사'!G9</c:f>
              <c:strCache>
                <c:ptCount val="1"/>
                <c:pt idx="0">
                  <c:v>마지막 시험</c:v>
                </c:pt>
              </c:strCache>
            </c:strRef>
          </c:tx>
          <c:spPr>
            <a:solidFill>
              <a:srgbClr val="1e7a7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모의고사'!$A$10:$A$14</c:f>
              <c:strCache>
                <c:ptCount val="5"/>
                <c:pt idx="0">
                  <c:v>김건희</c:v>
                </c:pt>
                <c:pt idx="1">
                  <c:v>안도후</c:v>
                </c:pt>
                <c:pt idx="2">
                  <c:v>안동휘</c:v>
                </c:pt>
                <c:pt idx="3">
                  <c:v>나민하</c:v>
                </c:pt>
                <c:pt idx="4">
                  <c:v>반 평균</c:v>
                </c:pt>
              </c:strCache>
            </c:strRef>
          </c:cat>
          <c:val>
            <c:numRef>
              <c:f>'고2 모의고사'!$G$10:$G$14</c:f>
              <c:numCache>
                <c:formatCode>General</c:formatCode>
                <c:ptCount val="5"/>
                <c:pt idx="0">
                  <c:v>84</c:v>
                </c:pt>
                <c:pt idx="1">
                  <c:v>80</c:v>
                </c:pt>
                <c:pt idx="2">
                  <c:v>87</c:v>
                </c:pt>
                <c:pt idx="3">
                  <c:v>86</c:v>
                </c:pt>
                <c:pt idx="4">
                  <c:v>84.25</c:v>
                </c:pt>
              </c:numCache>
            </c:numRef>
          </c:val>
        </c:ser>
        <c:gapWidth val="150"/>
        <c:overlap val="0"/>
        <c:axId val="12055881"/>
        <c:axId val="49015053"/>
      </c:barChart>
      <c:catAx>
        <c:axId val="120558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015053"/>
        <c:crosses val="autoZero"/>
        <c:auto val="1"/>
        <c:lblAlgn val="ctr"/>
        <c:lblOffset val="100"/>
        <c:noMultiLvlLbl val="0"/>
      </c:catAx>
      <c:valAx>
        <c:axId val="49015053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0558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고3 모의고사+수능 · 총점 (반 평균 = 굵은 선)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'고3 모의고사·수능'!A10</c:f>
              <c:strCache>
                <c:ptCount val="1"/>
                <c:pt idx="0">
                  <c:v>김건희</c:v>
                </c:pt>
              </c:strCache>
            </c:strRef>
          </c:tx>
          <c:spPr>
            <a:solidFill>
              <a:srgbClr val="4a7ebb"/>
            </a:solidFill>
            <a:ln w="1908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모의고사·수능'!$B$9:$C$9</c:f>
              <c:strCache>
                <c:ptCount val="2"/>
                <c:pt idx="0">
                  <c:v>중3 3차 (2022)
고3</c:v>
                </c:pt>
                <c:pt idx="1">
                  <c:v>중3 4차 (2022)
수능</c:v>
                </c:pt>
              </c:strCache>
            </c:strRef>
          </c:cat>
          <c:val>
            <c:numRef>
              <c:f>'고3 모의고사·수능'!$B$10:$C$10</c:f>
              <c:numCache>
                <c:formatCode>General</c:formatCode>
                <c:ptCount val="2"/>
                <c:pt idx="0">
                  <c:v>86</c:v>
                </c:pt>
                <c:pt idx="1">
                  <c:v>88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'고3 모의고사·수능'!A11</c:f>
              <c:strCache>
                <c:ptCount val="1"/>
                <c:pt idx="0">
                  <c:v>안도후</c:v>
                </c:pt>
              </c:strCache>
            </c:strRef>
          </c:tx>
          <c:spPr>
            <a:solidFill>
              <a:srgbClr val="be4b48"/>
            </a:solidFill>
            <a:ln w="19080">
              <a:solidFill>
                <a:srgbClr val="be4b48"/>
              </a:solidFill>
              <a:round/>
            </a:ln>
          </c:spPr>
          <c:marker>
            <c:symbol val="circle"/>
            <c:size val="6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모의고사·수능'!$B$9:$C$9</c:f>
              <c:strCache>
                <c:ptCount val="2"/>
                <c:pt idx="0">
                  <c:v>중3 3차 (2022)
고3</c:v>
                </c:pt>
                <c:pt idx="1">
                  <c:v>중3 4차 (2022)
수능</c:v>
                </c:pt>
              </c:strCache>
            </c:strRef>
          </c:cat>
          <c:val>
            <c:numRef>
              <c:f>'고3 모의고사·수능'!$B$11:$C$11</c:f>
              <c:numCache>
                <c:formatCode>General</c:formatCode>
                <c:ptCount val="2"/>
                <c:pt idx="0">
                  <c:v>88</c:v>
                </c:pt>
                <c:pt idx="1">
                  <c:v>88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'고3 모의고사·수능'!A12</c:f>
              <c:strCache>
                <c:ptCount val="1"/>
                <c:pt idx="0">
                  <c:v>안동휘</c:v>
                </c:pt>
              </c:strCache>
            </c:strRef>
          </c:tx>
          <c:spPr>
            <a:solidFill>
              <a:srgbClr val="98b855"/>
            </a:solidFill>
            <a:ln w="19080">
              <a:solidFill>
                <a:srgbClr val="98b855"/>
              </a:solidFill>
              <a:round/>
            </a:ln>
          </c:spPr>
          <c:marker>
            <c:symbol val="circle"/>
            <c:size val="6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모의고사·수능'!$B$9:$C$9</c:f>
              <c:strCache>
                <c:ptCount val="2"/>
                <c:pt idx="0">
                  <c:v>중3 3차 (2022)
고3</c:v>
                </c:pt>
                <c:pt idx="1">
                  <c:v>중3 4차 (2022)
수능</c:v>
                </c:pt>
              </c:strCache>
            </c:strRef>
          </c:cat>
          <c:val>
            <c:numRef>
              <c:f>'고3 모의고사·수능'!$B$12:$C$12</c:f>
              <c:numCache>
                <c:formatCode>General</c:formatCode>
                <c:ptCount val="2"/>
                <c:pt idx="0">
                  <c:v>93</c:v>
                </c:pt>
                <c:pt idx="1">
                  <c:v>87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'고3 모의고사·수능'!A13</c:f>
              <c:strCache>
                <c:ptCount val="1"/>
                <c:pt idx="0">
                  <c:v>나민하</c:v>
                </c:pt>
              </c:strCache>
            </c:strRef>
          </c:tx>
          <c:spPr>
            <a:solidFill>
              <a:srgbClr val="7d5fa0"/>
            </a:solidFill>
            <a:ln w="19080">
              <a:solidFill>
                <a:srgbClr val="7d5fa0"/>
              </a:solidFill>
              <a:round/>
            </a:ln>
          </c:spPr>
          <c:marker>
            <c:symbol val="circle"/>
            <c:size val="6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모의고사·수능'!$B$9:$C$9</c:f>
              <c:strCache>
                <c:ptCount val="2"/>
                <c:pt idx="0">
                  <c:v>중3 3차 (2022)
고3</c:v>
                </c:pt>
                <c:pt idx="1">
                  <c:v>중3 4차 (2022)
수능</c:v>
                </c:pt>
              </c:strCache>
            </c:strRef>
          </c:cat>
          <c:val>
            <c:numRef>
              <c:f>'고3 모의고사·수능'!$B$13:$C$13</c:f>
              <c:numCache>
                <c:formatCode>General</c:formatCode>
                <c:ptCount val="2"/>
                <c:pt idx="0">
                  <c:v>74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'고3 모의고사·수능'!A14</c:f>
              <c:strCache>
                <c:ptCount val="1"/>
                <c:pt idx="0">
                  <c:v>반 평균</c:v>
                </c:pt>
              </c:strCache>
            </c:strRef>
          </c:tx>
          <c:spPr>
            <a:solidFill>
              <a:srgbClr val="000000"/>
            </a:solidFill>
            <a:ln w="57240">
              <a:solidFill>
                <a:srgbClr val="000000"/>
              </a:solidFill>
              <a:round/>
            </a:ln>
          </c:spPr>
          <c:marker>
            <c:symbol val="circle"/>
            <c:size val="9"/>
            <c:spPr>
              <a:solidFill>
                <a:srgbClr val="000000"/>
              </a:solidFill>
            </c:spPr>
          </c:marker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모의고사·수능'!$B$9:$C$9</c:f>
              <c:strCache>
                <c:ptCount val="2"/>
                <c:pt idx="0">
                  <c:v>중3 3차 (2022)
고3</c:v>
                </c:pt>
                <c:pt idx="1">
                  <c:v>중3 4차 (2022)
수능</c:v>
                </c:pt>
              </c:strCache>
            </c:strRef>
          </c:cat>
          <c:val>
            <c:numRef>
              <c:f>'고3 모의고사·수능'!$B$14:$C$14</c:f>
              <c:numCache>
                <c:formatCode>0.0</c:formatCode>
                <c:ptCount val="2"/>
                <c:pt idx="0">
                  <c:v>85.25</c:v>
                </c:pt>
                <c:pt idx="1">
                  <c:v>87.6666666666667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3904288"/>
        <c:axId val="3648430"/>
      </c:lineChart>
      <c:catAx>
        <c:axId val="6390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48430"/>
        <c:crosses val="autoZero"/>
        <c:auto val="1"/>
        <c:lblAlgn val="ctr"/>
        <c:lblOffset val="100"/>
        <c:noMultiLvlLbl val="0"/>
      </c:catAx>
      <c:valAx>
        <c:axId val="3648430"/>
        <c:scaling>
          <c:orientation val="minMax"/>
          <c:max val="100"/>
          <c:min val="5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총점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904288"/>
        <c:crosses val="autoZero"/>
        <c:crossBetween val="between"/>
        <c:majorUnit val="10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고3 모의고사+수능 · 첫 시험 vs 마지막 시험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'고3 모의고사·수능'!D9</c:f>
              <c:strCache>
                <c:ptCount val="1"/>
                <c:pt idx="0">
                  <c:v>첫 시험</c:v>
                </c:pt>
              </c:strCache>
            </c:strRef>
          </c:tx>
          <c:spPr>
            <a:solidFill>
              <a:srgbClr val="a6b8b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모의고사·수능'!$A$10:$A$14</c:f>
              <c:strCache>
                <c:ptCount val="5"/>
                <c:pt idx="0">
                  <c:v>김건희</c:v>
                </c:pt>
                <c:pt idx="1">
                  <c:v>안도후</c:v>
                </c:pt>
                <c:pt idx="2">
                  <c:v>안동휘</c:v>
                </c:pt>
                <c:pt idx="3">
                  <c:v>나민하</c:v>
                </c:pt>
                <c:pt idx="4">
                  <c:v>반 평균</c:v>
                </c:pt>
              </c:strCache>
            </c:strRef>
          </c:cat>
          <c:val>
            <c:numRef>
              <c:f>'고3 모의고사·수능'!$D$10:$D$14</c:f>
              <c:numCache>
                <c:formatCode>General</c:formatCode>
                <c:ptCount val="5"/>
                <c:pt idx="0">
                  <c:v>86</c:v>
                </c:pt>
                <c:pt idx="1">
                  <c:v>88</c:v>
                </c:pt>
                <c:pt idx="2">
                  <c:v>93</c:v>
                </c:pt>
                <c:pt idx="3">
                  <c:v>74</c:v>
                </c:pt>
                <c:pt idx="4">
                  <c:v>85.25</c:v>
                </c:pt>
              </c:numCache>
            </c:numRef>
          </c:val>
        </c:ser>
        <c:ser>
          <c:idx val="1"/>
          <c:order val="1"/>
          <c:tx>
            <c:strRef>
              <c:f>'고3 모의고사·수능'!E9</c:f>
              <c:strCache>
                <c:ptCount val="1"/>
                <c:pt idx="0">
                  <c:v>마지막 시험</c:v>
                </c:pt>
              </c:strCache>
            </c:strRef>
          </c:tx>
          <c:spPr>
            <a:solidFill>
              <a:srgbClr val="1e7a7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모의고사·수능'!$A$10:$A$14</c:f>
              <c:strCache>
                <c:ptCount val="5"/>
                <c:pt idx="0">
                  <c:v>김건희</c:v>
                </c:pt>
                <c:pt idx="1">
                  <c:v>안도후</c:v>
                </c:pt>
                <c:pt idx="2">
                  <c:v>안동휘</c:v>
                </c:pt>
                <c:pt idx="3">
                  <c:v>나민하</c:v>
                </c:pt>
                <c:pt idx="4">
                  <c:v>반 평균</c:v>
                </c:pt>
              </c:strCache>
            </c:strRef>
          </c:cat>
          <c:val>
            <c:numRef>
              <c:f>'고3 모의고사·수능'!$E$10:$E$14</c:f>
              <c:numCache>
                <c:formatCode>General</c:formatCode>
                <c:ptCount val="5"/>
                <c:pt idx="0">
                  <c:v>88</c:v>
                </c:pt>
                <c:pt idx="1">
                  <c:v>88</c:v>
                </c:pt>
                <c:pt idx="2">
                  <c:v>87</c:v>
                </c:pt>
                <c:pt idx="3">
                  <c:v>74</c:v>
                </c:pt>
                <c:pt idx="4">
                  <c:v>87.6666666666667</c:v>
                </c:pt>
              </c:numCache>
            </c:numRef>
          </c:val>
        </c:ser>
        <c:gapWidth val="150"/>
        <c:overlap val="0"/>
        <c:axId val="57453565"/>
        <c:axId val="43276135"/>
      </c:barChart>
      <c:catAx>
        <c:axId val="574535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76135"/>
        <c:crosses val="autoZero"/>
        <c:auto val="1"/>
        <c:lblAlgn val="ctr"/>
        <c:lblOffset val="100"/>
        <c:noMultiLvlLbl val="0"/>
      </c:catAx>
      <c:valAx>
        <c:axId val="43276135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4535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134640</xdr:rowOff>
    </xdr:from>
    <xdr:to>
      <xdr:col>4</xdr:col>
      <xdr:colOff>1022040</xdr:colOff>
      <xdr:row>32</xdr:row>
      <xdr:rowOff>135720</xdr:rowOff>
    </xdr:to>
    <xdr:graphicFrame>
      <xdr:nvGraphicFramePr>
        <xdr:cNvPr id="0" name="Chart 1"/>
        <xdr:cNvGraphicFramePr/>
      </xdr:nvGraphicFramePr>
      <xdr:xfrm>
        <a:off x="0" y="347652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35</xdr:row>
      <xdr:rowOff>134640</xdr:rowOff>
    </xdr:from>
    <xdr:to>
      <xdr:col>5</xdr:col>
      <xdr:colOff>1193400</xdr:colOff>
      <xdr:row>52</xdr:row>
      <xdr:rowOff>135720</xdr:rowOff>
    </xdr:to>
    <xdr:graphicFrame>
      <xdr:nvGraphicFramePr>
        <xdr:cNvPr id="1" name="Chart 2"/>
        <xdr:cNvGraphicFramePr/>
      </xdr:nvGraphicFramePr>
      <xdr:xfrm>
        <a:off x="0" y="72867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134640</xdr:rowOff>
    </xdr:from>
    <xdr:to>
      <xdr:col>7</xdr:col>
      <xdr:colOff>208080</xdr:colOff>
      <xdr:row>32</xdr:row>
      <xdr:rowOff>135720</xdr:rowOff>
    </xdr:to>
    <xdr:graphicFrame>
      <xdr:nvGraphicFramePr>
        <xdr:cNvPr id="2" name="Chart 1"/>
        <xdr:cNvGraphicFramePr/>
      </xdr:nvGraphicFramePr>
      <xdr:xfrm>
        <a:off x="0" y="3705120"/>
        <a:ext cx="6551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35</xdr:row>
      <xdr:rowOff>134640</xdr:rowOff>
    </xdr:from>
    <xdr:to>
      <xdr:col>6</xdr:col>
      <xdr:colOff>332280</xdr:colOff>
      <xdr:row>52</xdr:row>
      <xdr:rowOff>135720</xdr:rowOff>
    </xdr:to>
    <xdr:graphicFrame>
      <xdr:nvGraphicFramePr>
        <xdr:cNvPr id="3" name="Chart 2"/>
        <xdr:cNvGraphicFramePr/>
      </xdr:nvGraphicFramePr>
      <xdr:xfrm>
        <a:off x="0" y="75153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134640</xdr:rowOff>
    </xdr:from>
    <xdr:to>
      <xdr:col>6</xdr:col>
      <xdr:colOff>332280</xdr:colOff>
      <xdr:row>32</xdr:row>
      <xdr:rowOff>135720</xdr:rowOff>
    </xdr:to>
    <xdr:graphicFrame>
      <xdr:nvGraphicFramePr>
        <xdr:cNvPr id="4" name="Chart 1"/>
        <xdr:cNvGraphicFramePr/>
      </xdr:nvGraphicFramePr>
      <xdr:xfrm>
        <a:off x="0" y="34765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35</xdr:row>
      <xdr:rowOff>134640</xdr:rowOff>
    </xdr:from>
    <xdr:to>
      <xdr:col>6</xdr:col>
      <xdr:colOff>332280</xdr:colOff>
      <xdr:row>52</xdr:row>
      <xdr:rowOff>135720</xdr:rowOff>
    </xdr:to>
    <xdr:graphicFrame>
      <xdr:nvGraphicFramePr>
        <xdr:cNvPr id="5" name="Chart 2"/>
        <xdr:cNvGraphicFramePr/>
      </xdr:nvGraphicFramePr>
      <xdr:xfrm>
        <a:off x="0" y="7286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134640</xdr:rowOff>
    </xdr:from>
    <xdr:to>
      <xdr:col>6</xdr:col>
      <xdr:colOff>332280</xdr:colOff>
      <xdr:row>32</xdr:row>
      <xdr:rowOff>135720</xdr:rowOff>
    </xdr:to>
    <xdr:graphicFrame>
      <xdr:nvGraphicFramePr>
        <xdr:cNvPr id="6" name="Chart 1"/>
        <xdr:cNvGraphicFramePr/>
      </xdr:nvGraphicFramePr>
      <xdr:xfrm>
        <a:off x="0" y="34765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35</xdr:row>
      <xdr:rowOff>134640</xdr:rowOff>
    </xdr:from>
    <xdr:to>
      <xdr:col>6</xdr:col>
      <xdr:colOff>332280</xdr:colOff>
      <xdr:row>52</xdr:row>
      <xdr:rowOff>135720</xdr:rowOff>
    </xdr:to>
    <xdr:graphicFrame>
      <xdr:nvGraphicFramePr>
        <xdr:cNvPr id="7" name="Chart 2"/>
        <xdr:cNvGraphicFramePr/>
      </xdr:nvGraphicFramePr>
      <xdr:xfrm>
        <a:off x="0" y="7286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6" min="5" style="0" width="18"/>
    <col collapsed="false" customWidth="true" hidden="false" outlineLevel="0" max="7" min="7" style="0" width="10"/>
  </cols>
  <sheetData>
    <row r="1" customFormat="false" ht="19.4" hidden="false" customHeight="false" outlineLevel="0" collapsed="false">
      <c r="A1" s="1" t="s">
        <v>0</v>
      </c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</row>
    <row r="4" customFormat="false" ht="18" hidden="false" customHeight="true" outlineLevel="0" collapsed="false">
      <c r="A4" s="2" t="s">
        <v>2</v>
      </c>
      <c r="B4" s="2"/>
      <c r="C4" s="2"/>
      <c r="D4" s="2"/>
      <c r="E4" s="2"/>
      <c r="F4" s="2"/>
      <c r="G4" s="2"/>
      <c r="H4" s="2"/>
      <c r="I4" s="2"/>
    </row>
    <row r="5" customFormat="false" ht="18" hidden="false" customHeight="true" outlineLevel="0" collapsed="false">
      <c r="A5" s="2" t="s">
        <v>3</v>
      </c>
      <c r="B5" s="2"/>
      <c r="C5" s="2"/>
      <c r="D5" s="2"/>
      <c r="E5" s="2"/>
      <c r="F5" s="2"/>
      <c r="G5" s="2"/>
      <c r="H5" s="2"/>
      <c r="I5" s="2"/>
    </row>
    <row r="6" customFormat="false" ht="18" hidden="false" customHeight="true" outlineLevel="0" collapsed="false">
      <c r="A6" s="2" t="s">
        <v>4</v>
      </c>
      <c r="B6" s="2"/>
      <c r="C6" s="2"/>
      <c r="D6" s="2"/>
      <c r="E6" s="2"/>
      <c r="F6" s="2"/>
      <c r="G6" s="2"/>
      <c r="H6" s="2"/>
      <c r="I6" s="2"/>
    </row>
    <row r="7" customFormat="false" ht="18" hidden="false" customHeight="true" outlineLevel="0" collapsed="false">
      <c r="A7" s="2" t="s">
        <v>5</v>
      </c>
      <c r="B7" s="2"/>
      <c r="C7" s="2"/>
      <c r="D7" s="2"/>
      <c r="E7" s="2"/>
      <c r="F7" s="2"/>
      <c r="G7" s="2"/>
      <c r="H7" s="2"/>
      <c r="I7" s="2"/>
    </row>
    <row r="9" customFormat="false" ht="33.75" hidden="false" customHeight="true" outlineLevel="0" collapsed="false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</row>
    <row r="10" customFormat="false" ht="15" hidden="false" customHeight="false" outlineLevel="0" collapsed="false">
      <c r="A10" s="4" t="s">
        <v>12</v>
      </c>
      <c r="B10" s="5" t="n">
        <f aca="false">'고1 모의고사'!B10</f>
        <v>69</v>
      </c>
      <c r="C10" s="6" t="n">
        <f aca="false">'고1 모의고사'!L10</f>
        <v>80</v>
      </c>
      <c r="D10" s="6" t="n">
        <f aca="false">'고2 모의고사'!I10</f>
        <v>84.25</v>
      </c>
      <c r="E10" s="6" t="n">
        <f aca="false">'고3 모의고사·수능'!G10</f>
        <v>87</v>
      </c>
      <c r="F10" s="7" t="n">
        <f aca="false">E10-B10</f>
        <v>18</v>
      </c>
    </row>
    <row r="11" customFormat="false" ht="15" hidden="false" customHeight="false" outlineLevel="0" collapsed="false">
      <c r="A11" s="4" t="s">
        <v>13</v>
      </c>
      <c r="B11" s="5" t="n">
        <f aca="false">'고1 모의고사'!B11</f>
        <v>67</v>
      </c>
      <c r="C11" s="6" t="n">
        <f aca="false">'고1 모의고사'!L11</f>
        <v>78</v>
      </c>
      <c r="D11" s="6" t="n">
        <f aca="false">'고2 모의고사'!I11</f>
        <v>79.5</v>
      </c>
      <c r="E11" s="6" t="n">
        <f aca="false">'고3 모의고사·수능'!G11</f>
        <v>88</v>
      </c>
      <c r="F11" s="7" t="n">
        <f aca="false">E11-B11</f>
        <v>21</v>
      </c>
    </row>
    <row r="12" customFormat="false" ht="15" hidden="false" customHeight="false" outlineLevel="0" collapsed="false">
      <c r="A12" s="4" t="s">
        <v>14</v>
      </c>
      <c r="B12" s="5" t="n">
        <f aca="false">'고1 모의고사'!B12</f>
        <v>58</v>
      </c>
      <c r="C12" s="6" t="n">
        <f aca="false">'고1 모의고사'!L12</f>
        <v>75.4285714285714</v>
      </c>
      <c r="D12" s="6" t="n">
        <f aca="false">'고2 모의고사'!I12</f>
        <v>84.75</v>
      </c>
      <c r="E12" s="6" t="n">
        <f aca="false">'고3 모의고사·수능'!G12</f>
        <v>90</v>
      </c>
      <c r="F12" s="7" t="n">
        <f aca="false">E12-B12</f>
        <v>32</v>
      </c>
    </row>
    <row r="13" customFormat="false" ht="15" hidden="false" customHeight="false" outlineLevel="0" collapsed="false">
      <c r="A13" s="4" t="s">
        <v>15</v>
      </c>
      <c r="B13" s="5" t="n">
        <f aca="false">'고1 모의고사'!B13</f>
        <v>57</v>
      </c>
      <c r="C13" s="6" t="n">
        <f aca="false">'고1 모의고사'!L13</f>
        <v>74.8571428571429</v>
      </c>
      <c r="D13" s="6" t="n">
        <f aca="false">'고2 모의고사'!I13</f>
        <v>83.25</v>
      </c>
      <c r="E13" s="6" t="n">
        <f aca="false">'고3 모의고사·수능'!G13</f>
        <v>74</v>
      </c>
      <c r="F13" s="7" t="n">
        <f aca="false">E13-B13</f>
        <v>17</v>
      </c>
    </row>
    <row r="14" customFormat="false" ht="15" hidden="false" customHeight="false" outlineLevel="0" collapsed="false">
      <c r="A14" s="8" t="s">
        <v>16</v>
      </c>
      <c r="B14" s="9" t="n">
        <f aca="false">'고1 모의고사'!B14</f>
        <v>62.75</v>
      </c>
      <c r="C14" s="9" t="n">
        <f aca="false">'고1 모의고사'!L14</f>
        <v>77.0714285714286</v>
      </c>
      <c r="D14" s="9" t="n">
        <f aca="false">'고2 모의고사'!I14</f>
        <v>82.9375</v>
      </c>
      <c r="E14" s="9" t="n">
        <f aca="false">'고3 모의고사·수능'!G14</f>
        <v>86.2857142857143</v>
      </c>
      <c r="F14" s="10" t="n">
        <f aca="false">E14-B14</f>
        <v>23.5357142857143</v>
      </c>
    </row>
    <row r="16" customFormat="false" ht="15" hidden="false" customHeight="false" outlineLevel="0" collapsed="false">
      <c r="A16" s="11" t="s">
        <v>17</v>
      </c>
    </row>
  </sheetData>
  <mergeCells count="5">
    <mergeCell ref="A3:I3"/>
    <mergeCell ref="A4:I4"/>
    <mergeCell ref="A5:I5"/>
    <mergeCell ref="A6:I6"/>
    <mergeCell ref="A7:I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3" min="2" style="0" width="13"/>
  </cols>
  <sheetData>
    <row r="1" customFormat="false" ht="19.4" hidden="false" customHeight="false" outlineLevel="0" collapsed="false">
      <c r="A1" s="1" t="s">
        <v>18</v>
      </c>
    </row>
    <row r="3" customFormat="false" ht="36" hidden="false" customHeight="true" outlineLevel="0" collapsed="false">
      <c r="A3" s="2" t="s">
        <v>19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8" hidden="false" customHeight="true" outlineLevel="0" collapsed="false">
      <c r="A4" s="2" t="s">
        <v>20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18" hidden="false" customHeight="true" outlineLevel="0" collapsed="false">
      <c r="A5" s="2" t="s">
        <v>21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false" ht="18" hidden="false" customHeight="true" outlineLevel="0" collapsed="false">
      <c r="A6" s="2" t="s">
        <v>22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customFormat="false" ht="18" hidden="false" customHeight="true" outlineLevel="0" collapsed="false">
      <c r="A7" s="2" t="s">
        <v>23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9" customFormat="false" ht="33.75" hidden="false" customHeight="true" outlineLevel="0" collapsed="false">
      <c r="A9" s="3" t="s">
        <v>6</v>
      </c>
      <c r="B9" s="3" t="s">
        <v>24</v>
      </c>
      <c r="C9" s="3" t="s">
        <v>25</v>
      </c>
      <c r="D9" s="3" t="s">
        <v>26</v>
      </c>
      <c r="E9" s="3" t="s">
        <v>27</v>
      </c>
      <c r="F9" s="3" t="s">
        <v>28</v>
      </c>
      <c r="G9" s="3" t="s">
        <v>29</v>
      </c>
      <c r="H9" s="3" t="s">
        <v>30</v>
      </c>
      <c r="I9" s="3" t="s">
        <v>31</v>
      </c>
      <c r="J9" s="3" t="s">
        <v>32</v>
      </c>
      <c r="K9" s="3" t="s">
        <v>33</v>
      </c>
      <c r="L9" s="3" t="s">
        <v>34</v>
      </c>
      <c r="M9" s="3" t="s">
        <v>35</v>
      </c>
    </row>
    <row r="10" customFormat="false" ht="15" hidden="false" customHeight="false" outlineLevel="0" collapsed="false">
      <c r="A10" s="4" t="s">
        <v>12</v>
      </c>
      <c r="B10" s="12" t="n">
        <v>69</v>
      </c>
      <c r="C10" s="12" t="n">
        <v>75</v>
      </c>
      <c r="D10" s="12" t="n">
        <v>76</v>
      </c>
      <c r="E10" s="12" t="n">
        <v>90</v>
      </c>
      <c r="F10" s="12" t="n">
        <v>73</v>
      </c>
      <c r="G10" s="12" t="n">
        <v>82</v>
      </c>
      <c r="H10" s="12" t="n">
        <v>95</v>
      </c>
      <c r="I10" s="13" t="n">
        <f aca="false">B10</f>
        <v>69</v>
      </c>
      <c r="J10" s="13" t="n">
        <f aca="false">LOOKUP(9.99E+307,B10:H10)</f>
        <v>95</v>
      </c>
      <c r="K10" s="14" t="n">
        <f aca="false">J10-I10</f>
        <v>26</v>
      </c>
      <c r="L10" s="15" t="n">
        <f aca="false">AVERAGE(B10:H10)</f>
        <v>80</v>
      </c>
      <c r="M10" s="13" t="n">
        <f aca="false">MAX(B10:H10)</f>
        <v>95</v>
      </c>
    </row>
    <row r="11" customFormat="false" ht="15" hidden="false" customHeight="false" outlineLevel="0" collapsed="false">
      <c r="A11" s="4" t="s">
        <v>13</v>
      </c>
      <c r="B11" s="12" t="n">
        <v>67</v>
      </c>
      <c r="C11" s="12" t="n">
        <v>66</v>
      </c>
      <c r="D11" s="12" t="n">
        <v>72</v>
      </c>
      <c r="E11" s="12" t="n">
        <v>81</v>
      </c>
      <c r="F11" s="12" t="n">
        <v>84</v>
      </c>
      <c r="G11" s="12" t="n">
        <v>83</v>
      </c>
      <c r="H11" s="12" t="n">
        <v>93</v>
      </c>
      <c r="I11" s="13" t="n">
        <f aca="false">B11</f>
        <v>67</v>
      </c>
      <c r="J11" s="13" t="n">
        <f aca="false">LOOKUP(9.99E+307,B11:H11)</f>
        <v>93</v>
      </c>
      <c r="K11" s="14" t="n">
        <f aca="false">J11-I11</f>
        <v>26</v>
      </c>
      <c r="L11" s="15" t="n">
        <f aca="false">AVERAGE(B11:H11)</f>
        <v>78</v>
      </c>
      <c r="M11" s="13" t="n">
        <f aca="false">MAX(B11:H11)</f>
        <v>93</v>
      </c>
    </row>
    <row r="12" customFormat="false" ht="15" hidden="false" customHeight="false" outlineLevel="0" collapsed="false">
      <c r="A12" s="4" t="s">
        <v>14</v>
      </c>
      <c r="B12" s="12" t="n">
        <v>58</v>
      </c>
      <c r="C12" s="12" t="n">
        <v>73</v>
      </c>
      <c r="D12" s="12" t="n">
        <v>75</v>
      </c>
      <c r="E12" s="12" t="n">
        <v>78</v>
      </c>
      <c r="F12" s="12" t="n">
        <v>77</v>
      </c>
      <c r="G12" s="12" t="n">
        <v>77</v>
      </c>
      <c r="H12" s="12" t="n">
        <v>90</v>
      </c>
      <c r="I12" s="13" t="n">
        <f aca="false">B12</f>
        <v>58</v>
      </c>
      <c r="J12" s="13" t="n">
        <f aca="false">LOOKUP(9.99E+307,B12:H12)</f>
        <v>90</v>
      </c>
      <c r="K12" s="14" t="n">
        <f aca="false">J12-I12</f>
        <v>32</v>
      </c>
      <c r="L12" s="15" t="n">
        <f aca="false">AVERAGE(B12:H12)</f>
        <v>75.4285714285714</v>
      </c>
      <c r="M12" s="13" t="n">
        <f aca="false">MAX(B12:H12)</f>
        <v>90</v>
      </c>
    </row>
    <row r="13" customFormat="false" ht="15" hidden="false" customHeight="false" outlineLevel="0" collapsed="false">
      <c r="A13" s="4" t="s">
        <v>15</v>
      </c>
      <c r="B13" s="12" t="n">
        <v>57</v>
      </c>
      <c r="C13" s="12" t="n">
        <v>79</v>
      </c>
      <c r="D13" s="12" t="n">
        <v>76</v>
      </c>
      <c r="E13" s="12" t="n">
        <v>71</v>
      </c>
      <c r="F13" s="12" t="n">
        <v>80</v>
      </c>
      <c r="G13" s="12" t="n">
        <v>74</v>
      </c>
      <c r="H13" s="12" t="n">
        <v>87</v>
      </c>
      <c r="I13" s="13" t="n">
        <f aca="false">B13</f>
        <v>57</v>
      </c>
      <c r="J13" s="13" t="n">
        <f aca="false">LOOKUP(9.99E+307,B13:H13)</f>
        <v>87</v>
      </c>
      <c r="K13" s="14" t="n">
        <f aca="false">J13-I13</f>
        <v>30</v>
      </c>
      <c r="L13" s="15" t="n">
        <f aca="false">AVERAGE(B13:H13)</f>
        <v>74.8571428571429</v>
      </c>
      <c r="M13" s="13" t="n">
        <f aca="false">MAX(B13:H13)</f>
        <v>87</v>
      </c>
    </row>
    <row r="14" customFormat="false" ht="15" hidden="false" customHeight="false" outlineLevel="0" collapsed="false">
      <c r="A14" s="8" t="s">
        <v>16</v>
      </c>
      <c r="B14" s="16" t="n">
        <f aca="false">AVERAGE(B10:B13)</f>
        <v>62.75</v>
      </c>
      <c r="C14" s="16" t="n">
        <f aca="false">AVERAGE(C10:C13)</f>
        <v>73.25</v>
      </c>
      <c r="D14" s="16" t="n">
        <f aca="false">AVERAGE(D10:D13)</f>
        <v>74.75</v>
      </c>
      <c r="E14" s="16" t="n">
        <f aca="false">AVERAGE(E10:E13)</f>
        <v>80</v>
      </c>
      <c r="F14" s="16" t="n">
        <f aca="false">AVERAGE(F10:F13)</f>
        <v>78.5</v>
      </c>
      <c r="G14" s="16" t="n">
        <f aca="false">AVERAGE(G10:G13)</f>
        <v>79</v>
      </c>
      <c r="H14" s="16" t="n">
        <f aca="false">AVERAGE(H10:H13)</f>
        <v>91.25</v>
      </c>
      <c r="I14" s="16" t="n">
        <f aca="false">B14</f>
        <v>62.75</v>
      </c>
      <c r="J14" s="16" t="n">
        <f aca="false">H14</f>
        <v>91.25</v>
      </c>
      <c r="K14" s="10" t="n">
        <f aca="false">J14-I14</f>
        <v>28.5</v>
      </c>
      <c r="L14" s="16" t="n">
        <f aca="false">AVERAGE(B10:H13)</f>
        <v>77.0714285714286</v>
      </c>
      <c r="M14" s="16" t="n">
        <f aca="false">MAX(B14:H14)</f>
        <v>91.25</v>
      </c>
    </row>
    <row r="15" customFormat="false" ht="15" hidden="false" customHeight="false" outlineLevel="0" collapsed="false">
      <c r="A15" s="11" t="s">
        <v>36</v>
      </c>
    </row>
  </sheetData>
  <mergeCells count="5">
    <mergeCell ref="A3:M3"/>
    <mergeCell ref="A4:M4"/>
    <mergeCell ref="A5:M5"/>
    <mergeCell ref="A6:M6"/>
    <mergeCell ref="A7:M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0" min="2" style="0" width="13"/>
  </cols>
  <sheetData>
    <row r="1" customFormat="false" ht="19.4" hidden="false" customHeight="false" outlineLevel="0" collapsed="false">
      <c r="A1" s="1" t="s">
        <v>37</v>
      </c>
    </row>
    <row r="3" customFormat="false" ht="18" hidden="false" customHeight="true" outlineLevel="0" collapsed="false">
      <c r="A3" s="2" t="s">
        <v>38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8" hidden="false" customHeight="true" outlineLevel="0" collapsed="false">
      <c r="A4" s="2" t="s">
        <v>39</v>
      </c>
      <c r="B4" s="2"/>
      <c r="C4" s="2"/>
      <c r="D4" s="2"/>
      <c r="E4" s="2"/>
      <c r="F4" s="2"/>
      <c r="G4" s="2"/>
      <c r="H4" s="2"/>
      <c r="I4" s="2"/>
      <c r="J4" s="2"/>
    </row>
    <row r="5" customFormat="false" ht="18" hidden="false" customHeight="true" outlineLevel="0" collapsed="false">
      <c r="A5" s="2" t="s">
        <v>40</v>
      </c>
      <c r="B5" s="2"/>
      <c r="C5" s="2"/>
      <c r="D5" s="2"/>
      <c r="E5" s="2"/>
      <c r="F5" s="2"/>
      <c r="G5" s="2"/>
      <c r="H5" s="2"/>
      <c r="I5" s="2"/>
      <c r="J5" s="2"/>
    </row>
    <row r="6" customFormat="false" ht="18" hidden="false" customHeight="true" outlineLevel="0" collapsed="false">
      <c r="A6" s="2" t="s">
        <v>41</v>
      </c>
      <c r="B6" s="2"/>
      <c r="C6" s="2"/>
      <c r="D6" s="2"/>
      <c r="E6" s="2"/>
      <c r="F6" s="2"/>
      <c r="G6" s="2"/>
      <c r="H6" s="2"/>
      <c r="I6" s="2"/>
      <c r="J6" s="2"/>
    </row>
    <row r="7" customFormat="false" ht="18" hidden="false" customHeight="true" outlineLevel="0" collapsed="false">
      <c r="A7" s="2" t="s">
        <v>42</v>
      </c>
      <c r="B7" s="2"/>
      <c r="C7" s="2"/>
      <c r="D7" s="2"/>
      <c r="E7" s="2"/>
      <c r="F7" s="2"/>
      <c r="G7" s="2"/>
      <c r="H7" s="2"/>
      <c r="I7" s="2"/>
      <c r="J7" s="2"/>
    </row>
    <row r="9" customFormat="false" ht="33.75" hidden="false" customHeight="true" outlineLevel="0" collapsed="false">
      <c r="A9" s="3" t="s">
        <v>6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31</v>
      </c>
      <c r="G9" s="3" t="s">
        <v>32</v>
      </c>
      <c r="H9" s="3" t="s">
        <v>33</v>
      </c>
      <c r="I9" s="3" t="s">
        <v>34</v>
      </c>
      <c r="J9" s="3" t="s">
        <v>35</v>
      </c>
    </row>
    <row r="10" customFormat="false" ht="15" hidden="false" customHeight="false" outlineLevel="0" collapsed="false">
      <c r="A10" s="4" t="s">
        <v>12</v>
      </c>
      <c r="B10" s="12" t="n">
        <v>87</v>
      </c>
      <c r="C10" s="12" t="n">
        <v>86</v>
      </c>
      <c r="D10" s="12" t="n">
        <v>80</v>
      </c>
      <c r="E10" s="12" t="n">
        <v>84</v>
      </c>
      <c r="F10" s="13" t="n">
        <f aca="false">B10</f>
        <v>87</v>
      </c>
      <c r="G10" s="13" t="n">
        <f aca="false">LOOKUP(9.99E+307,B10:E10)</f>
        <v>84</v>
      </c>
      <c r="H10" s="14" t="n">
        <f aca="false">G10-F10</f>
        <v>-3</v>
      </c>
      <c r="I10" s="15" t="n">
        <f aca="false">AVERAGE(B10:E10)</f>
        <v>84.25</v>
      </c>
      <c r="J10" s="13" t="n">
        <f aca="false">MAX(B10:E10)</f>
        <v>87</v>
      </c>
    </row>
    <row r="11" customFormat="false" ht="15" hidden="false" customHeight="false" outlineLevel="0" collapsed="false">
      <c r="A11" s="4" t="s">
        <v>13</v>
      </c>
      <c r="B11" s="12" t="n">
        <v>82</v>
      </c>
      <c r="C11" s="12" t="n">
        <v>77</v>
      </c>
      <c r="D11" s="12" t="n">
        <v>79</v>
      </c>
      <c r="E11" s="12" t="n">
        <v>80</v>
      </c>
      <c r="F11" s="13" t="n">
        <f aca="false">B11</f>
        <v>82</v>
      </c>
      <c r="G11" s="13" t="n">
        <f aca="false">LOOKUP(9.99E+307,B11:E11)</f>
        <v>80</v>
      </c>
      <c r="H11" s="14" t="n">
        <f aca="false">G11-F11</f>
        <v>-2</v>
      </c>
      <c r="I11" s="15" t="n">
        <f aca="false">AVERAGE(B11:E11)</f>
        <v>79.5</v>
      </c>
      <c r="J11" s="13" t="n">
        <f aca="false">MAX(B11:E11)</f>
        <v>82</v>
      </c>
    </row>
    <row r="12" customFormat="false" ht="15" hidden="false" customHeight="false" outlineLevel="0" collapsed="false">
      <c r="A12" s="4" t="s">
        <v>14</v>
      </c>
      <c r="B12" s="12" t="n">
        <v>80</v>
      </c>
      <c r="C12" s="12" t="n">
        <v>81</v>
      </c>
      <c r="D12" s="12" t="n">
        <v>91</v>
      </c>
      <c r="E12" s="12" t="n">
        <v>87</v>
      </c>
      <c r="F12" s="13" t="n">
        <f aca="false">B12</f>
        <v>80</v>
      </c>
      <c r="G12" s="13" t="n">
        <f aca="false">LOOKUP(9.99E+307,B12:E12)</f>
        <v>87</v>
      </c>
      <c r="H12" s="14" t="n">
        <f aca="false">G12-F12</f>
        <v>7</v>
      </c>
      <c r="I12" s="15" t="n">
        <f aca="false">AVERAGE(B12:E12)</f>
        <v>84.75</v>
      </c>
      <c r="J12" s="13" t="n">
        <f aca="false">MAX(B12:E12)</f>
        <v>91</v>
      </c>
    </row>
    <row r="13" customFormat="false" ht="15" hidden="false" customHeight="false" outlineLevel="0" collapsed="false">
      <c r="A13" s="4" t="s">
        <v>15</v>
      </c>
      <c r="B13" s="12" t="n">
        <v>84</v>
      </c>
      <c r="C13" s="12" t="n">
        <v>89</v>
      </c>
      <c r="D13" s="12" t="n">
        <v>74</v>
      </c>
      <c r="E13" s="12" t="n">
        <v>86</v>
      </c>
      <c r="F13" s="13" t="n">
        <f aca="false">B13</f>
        <v>84</v>
      </c>
      <c r="G13" s="13" t="n">
        <f aca="false">LOOKUP(9.99E+307,B13:E13)</f>
        <v>86</v>
      </c>
      <c r="H13" s="14" t="n">
        <f aca="false">G13-F13</f>
        <v>2</v>
      </c>
      <c r="I13" s="15" t="n">
        <f aca="false">AVERAGE(B13:E13)</f>
        <v>83.25</v>
      </c>
      <c r="J13" s="13" t="n">
        <f aca="false">MAX(B13:E13)</f>
        <v>89</v>
      </c>
    </row>
    <row r="14" customFormat="false" ht="15" hidden="false" customHeight="false" outlineLevel="0" collapsed="false">
      <c r="A14" s="8" t="s">
        <v>16</v>
      </c>
      <c r="B14" s="16" t="n">
        <f aca="false">AVERAGE(B10:B13)</f>
        <v>83.25</v>
      </c>
      <c r="C14" s="16" t="n">
        <f aca="false">AVERAGE(C10:C13)</f>
        <v>83.25</v>
      </c>
      <c r="D14" s="16" t="n">
        <f aca="false">AVERAGE(D10:D13)</f>
        <v>81</v>
      </c>
      <c r="E14" s="16" t="n">
        <f aca="false">AVERAGE(E10:E13)</f>
        <v>84.25</v>
      </c>
      <c r="F14" s="16" t="n">
        <f aca="false">B14</f>
        <v>83.25</v>
      </c>
      <c r="G14" s="16" t="n">
        <f aca="false">E14</f>
        <v>84.25</v>
      </c>
      <c r="H14" s="10" t="n">
        <f aca="false">G14-F14</f>
        <v>1</v>
      </c>
      <c r="I14" s="16" t="n">
        <f aca="false">AVERAGE(B10:E13)</f>
        <v>82.9375</v>
      </c>
      <c r="J14" s="16" t="n">
        <f aca="false">MAX(B14:E14)</f>
        <v>84.25</v>
      </c>
    </row>
    <row r="15" customFormat="false" ht="15" hidden="false" customHeight="false" outlineLevel="0" collapsed="false">
      <c r="A15" s="11" t="s">
        <v>36</v>
      </c>
    </row>
  </sheetData>
  <mergeCells count="5">
    <mergeCell ref="A3:J3"/>
    <mergeCell ref="A4:J4"/>
    <mergeCell ref="A5:J5"/>
    <mergeCell ref="A6:J6"/>
    <mergeCell ref="A7:J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8" min="2" style="0" width="13"/>
  </cols>
  <sheetData>
    <row r="1" customFormat="false" ht="19.4" hidden="false" customHeight="false" outlineLevel="0" collapsed="false">
      <c r="A1" s="1" t="s">
        <v>47</v>
      </c>
    </row>
    <row r="3" customFormat="false" ht="18" hidden="false" customHeight="true" outlineLevel="0" collapsed="false">
      <c r="A3" s="2" t="s">
        <v>48</v>
      </c>
      <c r="B3" s="2"/>
      <c r="C3" s="2"/>
      <c r="D3" s="2"/>
      <c r="E3" s="2"/>
      <c r="F3" s="2"/>
      <c r="G3" s="2"/>
      <c r="H3" s="2"/>
    </row>
    <row r="4" customFormat="false" ht="18" hidden="false" customHeight="true" outlineLevel="0" collapsed="false">
      <c r="A4" s="2" t="s">
        <v>49</v>
      </c>
      <c r="B4" s="2"/>
      <c r="C4" s="2"/>
      <c r="D4" s="2"/>
      <c r="E4" s="2"/>
      <c r="F4" s="2"/>
      <c r="G4" s="2"/>
      <c r="H4" s="2"/>
    </row>
    <row r="5" customFormat="false" ht="18" hidden="false" customHeight="true" outlineLevel="0" collapsed="false">
      <c r="A5" s="2" t="s">
        <v>50</v>
      </c>
      <c r="B5" s="2"/>
      <c r="C5" s="2"/>
      <c r="D5" s="2"/>
      <c r="E5" s="2"/>
      <c r="F5" s="2"/>
      <c r="G5" s="2"/>
      <c r="H5" s="2"/>
    </row>
    <row r="6" customFormat="false" ht="18" hidden="false" customHeight="true" outlineLevel="0" collapsed="false">
      <c r="A6" s="2" t="s">
        <v>51</v>
      </c>
      <c r="B6" s="2"/>
      <c r="C6" s="2"/>
      <c r="D6" s="2"/>
      <c r="E6" s="2"/>
      <c r="F6" s="2"/>
      <c r="G6" s="2"/>
      <c r="H6" s="2"/>
    </row>
    <row r="7" customFormat="false" ht="18" hidden="false" customHeight="true" outlineLevel="0" collapsed="false">
      <c r="A7" s="2" t="s">
        <v>52</v>
      </c>
      <c r="B7" s="2"/>
      <c r="C7" s="2"/>
      <c r="D7" s="2"/>
      <c r="E7" s="2"/>
      <c r="F7" s="2"/>
      <c r="G7" s="2"/>
      <c r="H7" s="2"/>
    </row>
    <row r="9" customFormat="false" ht="33.75" hidden="false" customHeight="true" outlineLevel="0" collapsed="false">
      <c r="A9" s="3" t="s">
        <v>6</v>
      </c>
      <c r="B9" s="3" t="s">
        <v>53</v>
      </c>
      <c r="C9" s="3" t="s">
        <v>54</v>
      </c>
      <c r="D9" s="3" t="s">
        <v>31</v>
      </c>
      <c r="E9" s="3" t="s">
        <v>32</v>
      </c>
      <c r="F9" s="3" t="s">
        <v>33</v>
      </c>
      <c r="G9" s="3" t="s">
        <v>34</v>
      </c>
      <c r="H9" s="3" t="s">
        <v>35</v>
      </c>
    </row>
    <row r="10" customFormat="false" ht="15" hidden="false" customHeight="false" outlineLevel="0" collapsed="false">
      <c r="A10" s="4" t="s">
        <v>12</v>
      </c>
      <c r="B10" s="12" t="n">
        <v>86</v>
      </c>
      <c r="C10" s="12" t="n">
        <v>88</v>
      </c>
      <c r="D10" s="13" t="n">
        <f aca="false">B10</f>
        <v>86</v>
      </c>
      <c r="E10" s="13" t="n">
        <f aca="false">LOOKUP(9.99E+307,B10:C10)</f>
        <v>88</v>
      </c>
      <c r="F10" s="14" t="n">
        <f aca="false">E10-D10</f>
        <v>2</v>
      </c>
      <c r="G10" s="15" t="n">
        <f aca="false">AVERAGE(B10:C10)</f>
        <v>87</v>
      </c>
      <c r="H10" s="13" t="n">
        <f aca="false">MAX(B10:C10)</f>
        <v>88</v>
      </c>
    </row>
    <row r="11" customFormat="false" ht="15" hidden="false" customHeight="false" outlineLevel="0" collapsed="false">
      <c r="A11" s="4" t="s">
        <v>13</v>
      </c>
      <c r="B11" s="12" t="n">
        <v>88</v>
      </c>
      <c r="C11" s="12" t="n">
        <v>88</v>
      </c>
      <c r="D11" s="13" t="n">
        <f aca="false">B11</f>
        <v>88</v>
      </c>
      <c r="E11" s="13" t="n">
        <f aca="false">LOOKUP(9.99E+307,B11:C11)</f>
        <v>88</v>
      </c>
      <c r="F11" s="14" t="n">
        <f aca="false">E11-D11</f>
        <v>0</v>
      </c>
      <c r="G11" s="15" t="n">
        <f aca="false">AVERAGE(B11:C11)</f>
        <v>88</v>
      </c>
      <c r="H11" s="13" t="n">
        <f aca="false">MAX(B11:C11)</f>
        <v>88</v>
      </c>
    </row>
    <row r="12" customFormat="false" ht="15" hidden="false" customHeight="false" outlineLevel="0" collapsed="false">
      <c r="A12" s="4" t="s">
        <v>14</v>
      </c>
      <c r="B12" s="12" t="n">
        <v>93</v>
      </c>
      <c r="C12" s="12" t="n">
        <v>87</v>
      </c>
      <c r="D12" s="13" t="n">
        <f aca="false">B12</f>
        <v>93</v>
      </c>
      <c r="E12" s="13" t="n">
        <f aca="false">LOOKUP(9.99E+307,B12:C12)</f>
        <v>87</v>
      </c>
      <c r="F12" s="14" t="n">
        <f aca="false">E12-D12</f>
        <v>-6</v>
      </c>
      <c r="G12" s="15" t="n">
        <f aca="false">AVERAGE(B12:C12)</f>
        <v>90</v>
      </c>
      <c r="H12" s="13" t="n">
        <f aca="false">MAX(B12:C12)</f>
        <v>93</v>
      </c>
    </row>
    <row r="13" customFormat="false" ht="15" hidden="false" customHeight="false" outlineLevel="0" collapsed="false">
      <c r="A13" s="4" t="s">
        <v>15</v>
      </c>
      <c r="B13" s="12" t="n">
        <v>74</v>
      </c>
      <c r="C13" s="12"/>
      <c r="D13" s="13" t="n">
        <f aca="false">B13</f>
        <v>74</v>
      </c>
      <c r="E13" s="13" t="n">
        <f aca="false">LOOKUP(9.99E+307,B13:C13)</f>
        <v>74</v>
      </c>
      <c r="F13" s="14" t="n">
        <f aca="false">E13-D13</f>
        <v>0</v>
      </c>
      <c r="G13" s="15" t="n">
        <f aca="false">AVERAGE(B13:C13)</f>
        <v>74</v>
      </c>
      <c r="H13" s="13" t="n">
        <f aca="false">MAX(B13:C13)</f>
        <v>74</v>
      </c>
    </row>
    <row r="14" customFormat="false" ht="15" hidden="false" customHeight="false" outlineLevel="0" collapsed="false">
      <c r="A14" s="8" t="s">
        <v>16</v>
      </c>
      <c r="B14" s="16" t="n">
        <f aca="false">AVERAGE(B10:B13)</f>
        <v>85.25</v>
      </c>
      <c r="C14" s="16" t="n">
        <f aca="false">AVERAGE(C10:C13)</f>
        <v>87.6666666666667</v>
      </c>
      <c r="D14" s="16" t="n">
        <f aca="false">B14</f>
        <v>85.25</v>
      </c>
      <c r="E14" s="16" t="n">
        <f aca="false">C14</f>
        <v>87.6666666666667</v>
      </c>
      <c r="F14" s="10" t="n">
        <f aca="false">E14-D14</f>
        <v>2.41666666666667</v>
      </c>
      <c r="G14" s="16" t="n">
        <f aca="false">AVERAGE(B10:C13)</f>
        <v>86.2857142857143</v>
      </c>
      <c r="H14" s="16" t="n">
        <f aca="false">MAX(B14:C14)</f>
        <v>87.6666666666667</v>
      </c>
    </row>
    <row r="15" customFormat="false" ht="15" hidden="false" customHeight="false" outlineLevel="0" collapsed="false">
      <c r="A15" s="11" t="s">
        <v>36</v>
      </c>
    </row>
  </sheetData>
  <mergeCells count="5">
    <mergeCell ref="A3:H3"/>
    <mergeCell ref="A4:H4"/>
    <mergeCell ref="A5:H5"/>
    <mergeCell ref="A6:H6"/>
    <mergeCell ref="A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2026-10-28T05:03:35Z</dcterms:created>
  <dc:creator>openpyxl</dc:creator>
  <dc:description/>
  <dc:language>en-US</dc:language>
  <cp:lastModifiedBy/>
  <dcterms:modified xsi:type="dcterms:W3CDTF">2026-10-28T05:03:37Z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