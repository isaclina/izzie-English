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  <sheet name="고3 모의고사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<sst xmlns="http://schemas.openxmlformats.org/spreadsheetml/2006/main" count="76" uniqueCount="50">
  <si>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</si>
  <si>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1 80.4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2 86.8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3 92.3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</si>
  <si>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67.0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+25.2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</si>
  <si>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구성관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송지효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신준섭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박주연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</si>
  <si>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</si>
  <si>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</si>
  <si>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</si>
  <si>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</si>
  <si>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</si>
  <si>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
평균</t>
    </r>
  </si>
  <si>
    <t xml:space="preserve">첫 시험 →
마지막 그룹 평균</t>
  </si>
  <si>
    <t xml:space="preserve">구성관</t>
  </si>
  <si>
    <t xml:space="preserve">송지효</t>
  </si>
  <si>
    <t xml:space="preserve">신준섭</t>
  </si>
  <si>
    <t xml:space="preserve">박주연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</si>
  <si>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</si>
  <si>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</si>
  <si>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</si>
  <si>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1 5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</si>
  <si>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67.0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89.0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(+22.0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</si>
  <si>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</si>
  <si>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송지효 </t>
    </r>
    <r>
      <rPr>
        <sz val="11"/>
        <rFont val="Arial"/>
        <family val="0"/>
        <charset val="1"/>
      </rPr>
      <t xml:space="preserve">58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94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(+36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</si>
  <si>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</si>
  <si>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</si>
  <si>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</si>
  <si>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</si>
  <si>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</si>
  <si>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</si>
  <si>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</si>
  <si>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</si>
  <si>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</si>
  <si>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</si>
  <si>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</si>
  <si>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</si>
  <si>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</si>
  <si>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</si>
  <si>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</si>
  <si>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86.0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86.5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(+0.5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</si>
  <si>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</si>
  <si>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박주연 </t>
    </r>
    <r>
      <rPr>
        <sz val="11"/>
        <rFont val="Arial"/>
        <family val="0"/>
        <charset val="1"/>
      </rPr>
      <t xml:space="preserve">69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85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(+16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</si>
  <si>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모의고사로 바뀐 첫 시험부터 반 평균 </t>
    </r>
    <r>
      <rPr>
        <sz val="11"/>
        <rFont val="Arial"/>
        <family val="0"/>
        <charset val="1"/>
      </rPr>
      <t xml:space="preserve">86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(2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차에는 </t>
    </r>
    <r>
      <rPr>
        <sz val="11"/>
        <rFont val="Arial"/>
        <family val="0"/>
        <charset val="1"/>
      </rPr>
      <t xml:space="preserve">92</t>
    </r>
    <r>
      <rPr>
        <sz val="11"/>
        <rFont val="WenQuanYi Zen Hei"/>
        <family val="2"/>
      </rPr>
      <t xml:space="preserve">점으로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1~2</t>
    </r>
    <r>
      <rPr>
        <sz val="11"/>
        <rFont val="WenQuanYi Zen Hei"/>
        <family val="2"/>
      </rPr>
      <t xml:space="preserve">등급이었습니다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</si>
  <si>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</si>
  <si>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</si>
  <si>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</si>
  <si>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</si>
  <si>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</si>
  <si>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</si>
  <si>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■ 반 평균 총점 </t>
    </r>
    <r>
      <rPr>
        <sz val="11"/>
        <rFont val="Arial"/>
        <family val="0"/>
        <charset val="1"/>
      </rPr>
      <t xml:space="preserve">92.3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: 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</si>
  <si>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구성관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송지효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 만점</t>
    </r>
    <r>
      <rPr>
        <sz val="11"/>
        <rFont val="Arial"/>
        <family val="0"/>
        <charset val="1"/>
      </rPr>
      <t xml:space="preserve">(1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신준섭 </t>
    </r>
    <r>
      <rPr>
        <sz val="11"/>
        <rFont val="Arial"/>
        <family val="0"/>
        <charset val="1"/>
      </rPr>
      <t xml:space="preserve">87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박주연 </t>
    </r>
    <r>
      <rPr>
        <sz val="11"/>
        <rFont val="Arial"/>
        <family val="0"/>
        <charset val="1"/>
      </rPr>
      <t xml:space="preserve">82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(2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으로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이상입니다</t>
    </r>
    <r>
      <rPr>
        <sz val="11"/>
        <rFont val="Arial"/>
        <family val="0"/>
        <charset val="1"/>
      </rPr>
      <t xml:space="preserve">. 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(2026</t>
    </r>
    <r>
      <rPr>
        <sz val="11"/>
        <rFont val="WenQuanYi Zen Hei"/>
        <family val="2"/>
      </rPr>
      <t xml:space="preserve">학년도 수능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난이도가 매우 높았던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불수능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이라 비교에서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</si>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</sst>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A7EBB"/>
      <rgbColor rgb="FF33CCCC"/>
      <rgbColor rgb="FF98B855"/>
      <rgbColor rgb="FFFFCC00"/>
      <rgbColor rgb="FFFF9900"/>
      <rgbColor rgb="FFFF6600"/>
      <rgbColor rgb="FF7D5FA0"/>
      <rgbColor rgb="FFA6B8B4"/>
      <rgbColor rgb="FF003366"/>
      <rgbColor rgb="FF3E9A90"/>
      <rgbColor rgb="FF003300"/>
      <rgbColor rgb="FF333300"/>
      <rgbColor rgb="FF993300"/>
      <rgbColor rgb="FF993366"/>
      <rgbColor rgb="FF333399"/>
      <rgbColor rgb="FF1740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요약'!$B$8:$E$8</c:f>
              <c:strCache>
                <c:ptCount val="4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  <c:pt idx="3">
                  <c:v>고3 모의고사
평균</c:v>
                </c:pt>
              </c:strCache>
            </c:strRef>
          </c:cat>
          <c:val>
            <c:numRef>
              <c:f>'총점 성장 요약'!$B$13:$E$13</c:f>
              <c:numCache>
                <c:formatCode>0.0</c:formatCode>
                <c:ptCount val="4"/>
                <c:pt idx="0">
                  <c:v>67</c:v>
                </c:pt>
                <c:pt idx="1">
                  <c:v>80.3571428571429</c:v>
                </c:pt>
                <c:pt idx="2">
                  <c:v>86.8125</c:v>
                </c:pt>
                <c:pt idx="3">
                  <c:v>92.25</c:v>
                </c:pt>
              </c:numCache>
            </c:numRef>
          </c:val>
        </c:ser>
        <c:gapWidth val="150"/>
        <c:overlap val="0"/>
        <c:axId val="34549100"/>
        <c:axId val="39585498"/>
      </c:barChart>
      <c:catAx>
        <c:axId val="345491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85498"/>
        <c:crosses val="autoZero"/>
        <c:auto val="1"/>
        <c:lblAlgn val="ctr"/>
        <c:lblOffset val="100"/>
        <c:noMultiLvlLbl val="0"/>
      </c:catAx>
      <c:valAx>
        <c:axId val="39585498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491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요약'!B8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요약'!$B$9:$B$12</c:f>
              <c:numCache>
                <c:formatCode>0</c:formatCode>
                <c:ptCount val="4"/>
                <c:pt idx="0">
                  <c:v>71</c:v>
                </c:pt>
                <c:pt idx="1">
                  <c:v>58</c:v>
                </c:pt>
                <c:pt idx="2">
                  <c:v>70</c:v>
                </c:pt>
                <c:pt idx="3">
                  <c:v>69</c:v>
                </c:pt>
              </c:numCache>
            </c:numRef>
          </c:val>
        </c:ser>
        <c:ser>
          <c:idx val="1"/>
          <c:order val="1"/>
          <c:tx>
            <c:strRef>
              <c:f>'총점 성장 요약'!C8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요약'!$C$9:$C$12</c:f>
              <c:numCache>
                <c:formatCode>0.0</c:formatCode>
                <c:ptCount val="4"/>
                <c:pt idx="0">
                  <c:v>82.1428571428571</c:v>
                </c:pt>
                <c:pt idx="1">
                  <c:v>85.7142857142857</c:v>
                </c:pt>
                <c:pt idx="2">
                  <c:v>76.1428571428571</c:v>
                </c:pt>
                <c:pt idx="3">
                  <c:v>77.4285714285714</c:v>
                </c:pt>
              </c:numCache>
            </c:numRef>
          </c:val>
        </c:ser>
        <c:ser>
          <c:idx val="2"/>
          <c:order val="2"/>
          <c:tx>
            <c:strRef>
              <c:f>'총점 성장 요약'!D8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요약'!$D$9:$D$12</c:f>
              <c:numCache>
                <c:formatCode>0.0</c:formatCode>
                <c:ptCount val="4"/>
                <c:pt idx="0">
                  <c:v>94</c:v>
                </c:pt>
                <c:pt idx="1">
                  <c:v>91.5</c:v>
                </c:pt>
                <c:pt idx="2">
                  <c:v>83.5</c:v>
                </c:pt>
                <c:pt idx="3">
                  <c:v>78.25</c:v>
                </c:pt>
              </c:numCache>
            </c:numRef>
          </c:val>
        </c:ser>
        <c:ser>
          <c:idx val="3"/>
          <c:order val="3"/>
          <c:tx>
            <c:strRef>
              <c:f>'총점 성장 요약'!E8</c:f>
              <c:strCache>
                <c:ptCount val="1"/>
                <c:pt idx="0">
                  <c:v>고3 모의고사
평균</c:v>
                </c:pt>
              </c:strCache>
            </c:strRef>
          </c:tx>
          <c:spPr>
            <a:solidFill>
              <a:srgbClr val="17403d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요약'!$E$9:$E$12</c:f>
              <c:numCache>
                <c:formatCode>0.0</c:formatCode>
                <c:ptCount val="4"/>
                <c:pt idx="0">
                  <c:v>100</c:v>
                </c:pt>
                <c:pt idx="1">
                  <c:v>100</c:v>
                </c:pt>
                <c:pt idx="2">
                  <c:v>87</c:v>
                </c:pt>
                <c:pt idx="3">
                  <c:v>82</c:v>
                </c:pt>
              </c:numCache>
            </c:numRef>
          </c:val>
        </c:ser>
        <c:gapWidth val="150"/>
        <c:overlap val="0"/>
        <c:axId val="25321474"/>
        <c:axId val="36902924"/>
      </c:barChart>
      <c:catAx>
        <c:axId val="253214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902924"/>
        <c:crosses val="autoZero"/>
        <c:auto val="1"/>
        <c:lblAlgn val="ctr"/>
        <c:lblOffset val="100"/>
        <c:noMultiLvlLbl val="0"/>
      </c:catAx>
      <c:valAx>
        <c:axId val="36902924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214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모의고사'!A9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모의고사'!$B$9:$H$9</c:f>
              <c:numCache>
                <c:formatCode>General</c:formatCode>
                <c:ptCount val="7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83</c:v>
                </c:pt>
                <c:pt idx="4">
                  <c:v>83</c:v>
                </c:pt>
                <c:pt idx="5">
                  <c:v>96</c:v>
                </c:pt>
                <c:pt idx="6">
                  <c:v>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모의고사'!A10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모의고사'!$B$10:$H$10</c:f>
              <c:numCache>
                <c:formatCode>General</c:formatCode>
                <c:ptCount val="7"/>
                <c:pt idx="0">
                  <c:v>58</c:v>
                </c:pt>
                <c:pt idx="1">
                  <c:v>81</c:v>
                </c:pt>
                <c:pt idx="2">
                  <c:v>81</c:v>
                </c:pt>
                <c:pt idx="3">
                  <c:v>92</c:v>
                </c:pt>
                <c:pt idx="4">
                  <c:v>94</c:v>
                </c:pt>
                <c:pt idx="5">
                  <c:v>100</c:v>
                </c:pt>
                <c:pt idx="6">
                  <c:v>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모의고사'!A11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모의고사'!$B$11:$H$11</c:f>
              <c:numCache>
                <c:formatCode>General</c:formatCode>
                <c:ptCount val="7"/>
                <c:pt idx="0">
                  <c:v>70</c:v>
                </c:pt>
                <c:pt idx="1">
                  <c:v>74</c:v>
                </c:pt>
                <c:pt idx="2">
                  <c:v>70</c:v>
                </c:pt>
                <c:pt idx="3">
                  <c:v>75</c:v>
                </c:pt>
                <c:pt idx="4">
                  <c:v>75</c:v>
                </c:pt>
                <c:pt idx="5">
                  <c:v>90</c:v>
                </c:pt>
                <c:pt idx="6">
                  <c:v>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모의고사'!A12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모의고사'!$B$12:$H$12</c:f>
              <c:numCache>
                <c:formatCode>General</c:formatCode>
                <c:ptCount val="7"/>
                <c:pt idx="0">
                  <c:v>69</c:v>
                </c:pt>
                <c:pt idx="1">
                  <c:v>65</c:v>
                </c:pt>
                <c:pt idx="2">
                  <c:v>71</c:v>
                </c:pt>
                <c:pt idx="3">
                  <c:v>84</c:v>
                </c:pt>
                <c:pt idx="4">
                  <c:v>75</c:v>
                </c:pt>
                <c:pt idx="5">
                  <c:v>92</c:v>
                </c:pt>
                <c:pt idx="6">
                  <c:v>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모의고사'!A13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모의고사'!$B$13:$H$13</c:f>
              <c:numCache>
                <c:formatCode>0.0</c:formatCode>
                <c:ptCount val="7"/>
                <c:pt idx="0">
                  <c:v>67</c:v>
                </c:pt>
                <c:pt idx="1">
                  <c:v>73</c:v>
                </c:pt>
                <c:pt idx="2">
                  <c:v>73.75</c:v>
                </c:pt>
                <c:pt idx="3">
                  <c:v>83.5</c:v>
                </c:pt>
                <c:pt idx="4">
                  <c:v>81.75</c:v>
                </c:pt>
                <c:pt idx="5">
                  <c:v>94.5</c:v>
                </c:pt>
                <c:pt idx="6">
                  <c:v>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833082"/>
        <c:axId val="33507811"/>
      </c:lineChart>
      <c:catAx>
        <c:axId val="838330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07811"/>
        <c:crosses val="autoZero"/>
        <c:auto val="1"/>
        <c:lblAlgn val="ctr"/>
        <c:lblOffset val="100"/>
        <c:noMultiLvlLbl val="0"/>
      </c:catAx>
      <c:valAx>
        <c:axId val="33507811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33082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모의고사'!I8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모의고사'!$A$9:$A$13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'고1 모의고사'!$I$9:$I$13</c:f>
              <c:numCache>
                <c:formatCode>General</c:formatCode>
                <c:ptCount val="5"/>
                <c:pt idx="0">
                  <c:v>71</c:v>
                </c:pt>
                <c:pt idx="1">
                  <c:v>58</c:v>
                </c:pt>
                <c:pt idx="2">
                  <c:v>70</c:v>
                </c:pt>
                <c:pt idx="3">
                  <c:v>69</c:v>
                </c:pt>
                <c:pt idx="4">
                  <c:v>67</c:v>
                </c:pt>
              </c:numCache>
            </c:numRef>
          </c:val>
        </c:ser>
        <c:ser>
          <c:idx val="1"/>
          <c:order val="1"/>
          <c:tx>
            <c:strRef>
              <c:f>'고1 모의고사'!J8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모의고사'!$A$9:$A$13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'고1 모의고사'!$J$9:$J$13</c:f>
              <c:numCache>
                <c:formatCode>General</c:formatCode>
                <c:ptCount val="5"/>
                <c:pt idx="0">
                  <c:v>97</c:v>
                </c:pt>
                <c:pt idx="1">
                  <c:v>94</c:v>
                </c:pt>
                <c:pt idx="2">
                  <c:v>79</c:v>
                </c:pt>
                <c:pt idx="3">
                  <c:v>86</c:v>
                </c:pt>
                <c:pt idx="4">
                  <c:v>89</c:v>
                </c:pt>
              </c:numCache>
            </c:numRef>
          </c:val>
        </c:ser>
        <c:gapWidth val="150"/>
        <c:overlap val="0"/>
        <c:axId val="45233979"/>
        <c:axId val="44955514"/>
      </c:barChart>
      <c:catAx>
        <c:axId val="452339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55514"/>
        <c:crosses val="autoZero"/>
        <c:auto val="1"/>
        <c:lblAlgn val="ctr"/>
        <c:lblOffset val="100"/>
        <c:noMultiLvlLbl val="0"/>
      </c:catAx>
      <c:valAx>
        <c:axId val="44955514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2339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모의고사'!A10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모의고사'!$B$10:$E$10</c:f>
              <c:numCache>
                <c:formatCode>General</c:formatCode>
                <c:ptCount val="4"/>
                <c:pt idx="0">
                  <c:v>89</c:v>
                </c:pt>
                <c:pt idx="1">
                  <c:v>100</c:v>
                </c:pt>
                <c:pt idx="2">
                  <c:v>95</c:v>
                </c:pt>
                <c:pt idx="3">
                  <c:v>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모의고사'!A11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모의고사'!$B$11:$E$11</c:f>
              <c:numCache>
                <c:formatCode>General</c:formatCode>
                <c:ptCount val="4"/>
                <c:pt idx="0">
                  <c:v>92</c:v>
                </c:pt>
                <c:pt idx="1">
                  <c:v>84</c:v>
                </c:pt>
                <c:pt idx="2">
                  <c:v>95</c:v>
                </c:pt>
                <c:pt idx="3">
                  <c:v>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모의고사'!A12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모의고사'!$B$12:$E$12</c:f>
              <c:numCache>
                <c:formatCode>General</c:formatCode>
                <c:ptCount val="4"/>
                <c:pt idx="0">
                  <c:v>94</c:v>
                </c:pt>
                <c:pt idx="1">
                  <c:v>77</c:v>
                </c:pt>
                <c:pt idx="2">
                  <c:v>89</c:v>
                </c:pt>
                <c:pt idx="3">
                  <c:v>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모의고사'!A13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모의고사'!$B$13:$E$13</c:f>
              <c:numCache>
                <c:formatCode>General</c:formatCode>
                <c:ptCount val="4"/>
                <c:pt idx="0">
                  <c:v>69</c:v>
                </c:pt>
                <c:pt idx="1">
                  <c:v>70</c:v>
                </c:pt>
                <c:pt idx="2">
                  <c:v>89</c:v>
                </c:pt>
                <c:pt idx="3">
                  <c:v>85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모의고사'!$B$14:$E$14</c:f>
              <c:numCache>
                <c:formatCode>0.0</c:formatCode>
                <c:ptCount val="4"/>
                <c:pt idx="0">
                  <c:v>86</c:v>
                </c:pt>
                <c:pt idx="1">
                  <c:v>82.75</c:v>
                </c:pt>
                <c:pt idx="2">
                  <c:v>92</c:v>
                </c:pt>
                <c:pt idx="3">
                  <c:v>86.5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9297642"/>
        <c:axId val="65980245"/>
      </c:lineChart>
      <c:catAx>
        <c:axId val="392976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80245"/>
        <c:crosses val="autoZero"/>
        <c:auto val="1"/>
        <c:lblAlgn val="ctr"/>
        <c:lblOffset val="100"/>
        <c:noMultiLvlLbl val="0"/>
      </c:catAx>
      <c:valAx>
        <c:axId val="65980245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297642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'고2 모의고사'!F9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'고2 모의고사'!$F$10:$F$14</c:f>
              <c:numCache>
                <c:formatCode>General</c:formatCode>
                <c:ptCount val="5"/>
                <c:pt idx="0">
                  <c:v>89</c:v>
                </c:pt>
                <c:pt idx="1">
                  <c:v>92</c:v>
                </c:pt>
                <c:pt idx="2">
                  <c:v>94</c:v>
                </c:pt>
                <c:pt idx="3">
                  <c:v>69</c:v>
                </c:pt>
                <c:pt idx="4">
                  <c:v>86</c:v>
                </c:pt>
              </c:numCache>
            </c:numRef>
          </c:val>
        </c:ser>
        <c:ser>
          <c:idx val="1"/>
          <c:order val="1"/>
          <c:tx>
            <c:strRef>
              <c:f>'고2 모의고사'!G9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'고2 모의고사'!$G$10:$G$14</c:f>
              <c:numCache>
                <c:formatCode>General</c:formatCode>
                <c:ptCount val="5"/>
                <c:pt idx="0">
                  <c:v>92</c:v>
                </c:pt>
                <c:pt idx="1">
                  <c:v>95</c:v>
                </c:pt>
                <c:pt idx="2">
                  <c:v>74</c:v>
                </c:pt>
                <c:pt idx="3">
                  <c:v>85</c:v>
                </c:pt>
                <c:pt idx="4">
                  <c:v>86.5</c:v>
                </c:pt>
              </c:numCache>
            </c:numRef>
          </c:val>
        </c:ser>
        <c:gapWidth val="150"/>
        <c:overlap val="0"/>
        <c:axId val="32918874"/>
        <c:axId val="41865875"/>
      </c:barChart>
      <c:catAx>
        <c:axId val="329188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65875"/>
        <c:crosses val="autoZero"/>
        <c:auto val="1"/>
        <c:lblAlgn val="ctr"/>
        <c:lblOffset val="100"/>
        <c:noMultiLvlLbl val="0"/>
      </c:catAx>
      <c:valAx>
        <c:axId val="41865875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188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모의고사'!A8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모의고사'!$B$8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모의고사'!A9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모의고사'!$B$9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모의고사'!A10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모의고사'!$B$10</c:f>
              <c:numCache>
                <c:formatCode>General</c:formatCode>
                <c:ptCount val="1"/>
                <c:pt idx="0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모의고사'!A11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모의고사'!$B$11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'고3 모의고사'!A12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모의고사'!$B$12</c:f>
              <c:numCache>
                <c:formatCode>0.0</c:formatCode>
                <c:ptCount val="1"/>
                <c:pt idx="0">
                  <c:v>92.25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799889"/>
        <c:axId val="37734744"/>
      </c:lineChart>
      <c:catAx>
        <c:axId val="157998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34744"/>
        <c:crosses val="autoZero"/>
        <c:auto val="1"/>
        <c:lblAlgn val="ctr"/>
        <c:lblOffset val="100"/>
        <c:noMultiLvlLbl val="0"/>
      </c:catAx>
      <c:valAx>
        <c:axId val="37734744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799889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134640</xdr:rowOff>
    </xdr:from>
    <xdr:to>
      <xdr:col>4</xdr:col>
      <xdr:colOff>1022040</xdr:colOff>
      <xdr:row>31</xdr:row>
      <xdr:rowOff>135720</xdr:rowOff>
    </xdr:to>
    <xdr:graphicFrame>
      <xdr:nvGraphicFramePr>
        <xdr:cNvPr id="0" name="Chart 1"/>
        <xdr:cNvGraphicFramePr/>
      </xdr:nvGraphicFramePr>
      <xdr:xfrm>
        <a:off x="0" y="32479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34</xdr:row>
      <xdr:rowOff>134640</xdr:rowOff>
    </xdr:from>
    <xdr:to>
      <xdr:col>5</xdr:col>
      <xdr:colOff>1193400</xdr:colOff>
      <xdr:row>51</xdr:row>
      <xdr:rowOff>135720</xdr:rowOff>
    </xdr:to>
    <xdr:graphicFrame>
      <xdr:nvGraphicFramePr>
        <xdr:cNvPr id="1" name="Chart 2"/>
        <xdr:cNvGraphicFramePr/>
      </xdr:nvGraphicFramePr>
      <xdr:xfrm>
        <a:off x="0" y="705816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134640</xdr:rowOff>
    </xdr:from>
    <xdr:to>
      <xdr:col>7</xdr:col>
      <xdr:colOff>208080</xdr:colOff>
      <xdr:row>31</xdr:row>
      <xdr:rowOff>135720</xdr:rowOff>
    </xdr:to>
    <xdr:graphicFrame>
      <xdr:nvGraphicFramePr>
        <xdr:cNvPr id="2" name="Chart 1"/>
        <xdr:cNvGraphicFramePr/>
      </xdr:nvGraphicFramePr>
      <xdr:xfrm>
        <a:off x="0" y="3476520"/>
        <a:ext cx="6551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34</xdr:row>
      <xdr:rowOff>134640</xdr:rowOff>
    </xdr:from>
    <xdr:to>
      <xdr:col>6</xdr:col>
      <xdr:colOff>332280</xdr:colOff>
      <xdr:row>51</xdr:row>
      <xdr:rowOff>135720</xdr:rowOff>
    </xdr:to>
    <xdr:graphicFrame>
      <xdr:nvGraphicFramePr>
        <xdr:cNvPr id="3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5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134640</xdr:rowOff>
    </xdr:from>
    <xdr:to>
      <xdr:col>6</xdr:col>
      <xdr:colOff>332280</xdr:colOff>
      <xdr:row>30</xdr:row>
      <xdr:rowOff>135720</xdr:rowOff>
    </xdr:to>
    <xdr:graphicFrame>
      <xdr:nvGraphicFramePr>
        <xdr:cNvPr id="6" name="Chart 1"/>
        <xdr:cNvGraphicFramePr/>
      </xdr:nvGraphicFramePr>
      <xdr:xfrm>
        <a:off x="0" y="32479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8" customFormat="false" ht="33.75" hidden="false" customHeight="true" outlineLevel="0" collapsed="false">
      <c r="A8" s="3" t="s">
        <v>5</v>
      </c>
      <c r="B8" s="3" t="s">
        <v>6</v>
      </c>
      <c r="C8" s="3" t="s">
        <v>7</v>
      </c>
      <c r="D8" s="3" t="s">
        <v>8</v>
      </c>
      <c r="E8" s="3" t="s">
        <v>9</v>
      </c>
      <c r="F8" s="3" t="s">
        <v>10</v>
      </c>
    </row>
    <row r="9" customFormat="false" ht="15" hidden="false" customHeight="false" outlineLevel="0" collapsed="false">
      <c r="A9" s="4" t="s">
        <v>11</v>
      </c>
      <c r="B9" s="5" t="n">
        <f aca="false">'고1 모의고사'!B9</f>
        <v>71</v>
      </c>
      <c r="C9" s="6" t="n">
        <f aca="false">'고1 모의고사'!L9</f>
        <v>82.1428571428571</v>
      </c>
      <c r="D9" s="6" t="n">
        <f aca="false">'고2 모의고사'!I10</f>
        <v>94</v>
      </c>
      <c r="E9" s="6" t="n">
        <f aca="false">'고3 모의고사'!C8</f>
        <v>100</v>
      </c>
      <c r="F9" s="7" t="n">
        <f aca="false">E9-B9</f>
        <v>29</v>
      </c>
    </row>
    <row r="10" customFormat="false" ht="15" hidden="false" customHeight="false" outlineLevel="0" collapsed="false">
      <c r="A10" s="4" t="s">
        <v>12</v>
      </c>
      <c r="B10" s="5" t="n">
        <f aca="false">'고1 모의고사'!B10</f>
        <v>58</v>
      </c>
      <c r="C10" s="6" t="n">
        <f aca="false">'고1 모의고사'!L10</f>
        <v>85.7142857142857</v>
      </c>
      <c r="D10" s="6" t="n">
        <f aca="false">'고2 모의고사'!I11</f>
        <v>91.5</v>
      </c>
      <c r="E10" s="6" t="n">
        <f aca="false">'고3 모의고사'!C9</f>
        <v>100</v>
      </c>
      <c r="F10" s="7" t="n">
        <f aca="false">E10-B10</f>
        <v>42</v>
      </c>
    </row>
    <row r="11" customFormat="false" ht="15" hidden="false" customHeight="false" outlineLevel="0" collapsed="false">
      <c r="A11" s="4" t="s">
        <v>13</v>
      </c>
      <c r="B11" s="5" t="n">
        <f aca="false">'고1 모의고사'!B11</f>
        <v>70</v>
      </c>
      <c r="C11" s="6" t="n">
        <f aca="false">'고1 모의고사'!L11</f>
        <v>76.1428571428571</v>
      </c>
      <c r="D11" s="6" t="n">
        <f aca="false">'고2 모의고사'!I12</f>
        <v>83.5</v>
      </c>
      <c r="E11" s="6" t="n">
        <f aca="false">'고3 모의고사'!C10</f>
        <v>87</v>
      </c>
      <c r="F11" s="7" t="n">
        <f aca="false">E11-B11</f>
        <v>17</v>
      </c>
    </row>
    <row r="12" customFormat="false" ht="15" hidden="false" customHeight="false" outlineLevel="0" collapsed="false">
      <c r="A12" s="4" t="s">
        <v>14</v>
      </c>
      <c r="B12" s="5" t="n">
        <f aca="false">'고1 모의고사'!B12</f>
        <v>69</v>
      </c>
      <c r="C12" s="6" t="n">
        <f aca="false">'고1 모의고사'!L12</f>
        <v>77.4285714285714</v>
      </c>
      <c r="D12" s="6" t="n">
        <f aca="false">'고2 모의고사'!I13</f>
        <v>78.25</v>
      </c>
      <c r="E12" s="6" t="n">
        <f aca="false">'고3 모의고사'!C11</f>
        <v>82</v>
      </c>
      <c r="F12" s="7" t="n">
        <f aca="false">E12-B12</f>
        <v>13</v>
      </c>
    </row>
    <row r="13" customFormat="false" ht="15" hidden="false" customHeight="false" outlineLevel="0" collapsed="false">
      <c r="A13" s="8" t="s">
        <v>15</v>
      </c>
      <c r="B13" s="9" t="n">
        <f aca="false">'고1 모의고사'!B13</f>
        <v>67</v>
      </c>
      <c r="C13" s="9" t="n">
        <f aca="false">'고1 모의고사'!L13</f>
        <v>80.3571428571429</v>
      </c>
      <c r="D13" s="9" t="n">
        <f aca="false">'고2 모의고사'!I14</f>
        <v>86.8125</v>
      </c>
      <c r="E13" s="9" t="n">
        <f aca="false">'고3 모의고사'!C12</f>
        <v>92.25</v>
      </c>
      <c r="F13" s="10" t="n">
        <f aca="false">E13-B13</f>
        <v>25.25</v>
      </c>
    </row>
    <row r="15" customFormat="false" ht="15" hidden="false" customHeight="false" outlineLevel="0" collapsed="false">
      <c r="A15" s="11" t="s">
        <v>16</v>
      </c>
    </row>
  </sheetData>
  <mergeCells count="4">
    <mergeCell ref="A3:I3"/>
    <mergeCell ref="A4:I4"/>
    <mergeCell ref="A5:I5"/>
    <mergeCell ref="A6:I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19.4" hidden="false" customHeight="false" outlineLevel="0" collapsed="false">
      <c r="A1" s="1" t="s">
        <v>17</v>
      </c>
    </row>
    <row r="3" customFormat="false" ht="36" hidden="false" customHeight="true" outlineLevel="0" collapsed="false">
      <c r="A3" s="2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8" hidden="false" customHeight="true" outlineLevel="0" collapsed="false">
      <c r="A4" s="2" t="s">
        <v>19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8" hidden="false" customHeight="true" outlineLevel="0" collapsed="false">
      <c r="A5" s="2" t="s">
        <v>20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8" hidden="false" customHeight="true" outlineLevel="0" collapsed="false">
      <c r="A6" s="2" t="s">
        <v>21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8" customFormat="false" ht="33.75" hidden="false" customHeight="true" outlineLevel="0" collapsed="false">
      <c r="A8" s="3" t="s">
        <v>5</v>
      </c>
      <c r="B8" s="3" t="s">
        <v>22</v>
      </c>
      <c r="C8" s="3" t="s">
        <v>23</v>
      </c>
      <c r="D8" s="3" t="s">
        <v>24</v>
      </c>
      <c r="E8" s="3" t="s">
        <v>25</v>
      </c>
      <c r="F8" s="3" t="s">
        <v>26</v>
      </c>
      <c r="G8" s="3" t="s">
        <v>27</v>
      </c>
      <c r="H8" s="3" t="s">
        <v>28</v>
      </c>
      <c r="I8" s="3" t="s">
        <v>29</v>
      </c>
      <c r="J8" s="3" t="s">
        <v>30</v>
      </c>
      <c r="K8" s="3" t="s">
        <v>31</v>
      </c>
      <c r="L8" s="3" t="s">
        <v>32</v>
      </c>
      <c r="M8" s="3" t="s">
        <v>33</v>
      </c>
    </row>
    <row r="9" customFormat="false" ht="15" hidden="false" customHeight="false" outlineLevel="0" collapsed="false">
      <c r="A9" s="4" t="s">
        <v>11</v>
      </c>
      <c r="B9" s="12" t="n">
        <v>71</v>
      </c>
      <c r="C9" s="12" t="n">
        <v>72</v>
      </c>
      <c r="D9" s="12" t="n">
        <v>73</v>
      </c>
      <c r="E9" s="12" t="n">
        <v>83</v>
      </c>
      <c r="F9" s="12" t="n">
        <v>83</v>
      </c>
      <c r="G9" s="12" t="n">
        <v>96</v>
      </c>
      <c r="H9" s="12" t="n">
        <v>97</v>
      </c>
      <c r="I9" s="13" t="n">
        <f aca="false">B9</f>
        <v>71</v>
      </c>
      <c r="J9" s="13" t="n">
        <f aca="false">LOOKUP(9.99E+307,B9:H9)</f>
        <v>97</v>
      </c>
      <c r="K9" s="14" t="n">
        <f aca="false">J9-I9</f>
        <v>26</v>
      </c>
      <c r="L9" s="15" t="n">
        <f aca="false">AVERAGE(B9:H9)</f>
        <v>82.1428571428571</v>
      </c>
      <c r="M9" s="13" t="n">
        <f aca="false">MAX(B9:H9)</f>
        <v>97</v>
      </c>
    </row>
    <row r="10" customFormat="false" ht="15" hidden="false" customHeight="false" outlineLevel="0" collapsed="false">
      <c r="A10" s="4" t="s">
        <v>12</v>
      </c>
      <c r="B10" s="12" t="n">
        <v>58</v>
      </c>
      <c r="C10" s="12" t="n">
        <v>81</v>
      </c>
      <c r="D10" s="12" t="n">
        <v>81</v>
      </c>
      <c r="E10" s="12" t="n">
        <v>92</v>
      </c>
      <c r="F10" s="12" t="n">
        <v>94</v>
      </c>
      <c r="G10" s="12" t="n">
        <v>100</v>
      </c>
      <c r="H10" s="12" t="n">
        <v>94</v>
      </c>
      <c r="I10" s="13" t="n">
        <f aca="false">B10</f>
        <v>58</v>
      </c>
      <c r="J10" s="13" t="n">
        <f aca="false">LOOKUP(9.99E+307,B10:H10)</f>
        <v>94</v>
      </c>
      <c r="K10" s="14" t="n">
        <f aca="false">J10-I10</f>
        <v>36</v>
      </c>
      <c r="L10" s="15" t="n">
        <f aca="false">AVERAGE(B10:H10)</f>
        <v>85.7142857142857</v>
      </c>
      <c r="M10" s="13" t="n">
        <f aca="false">MAX(B10:H10)</f>
        <v>100</v>
      </c>
    </row>
    <row r="11" customFormat="false" ht="15" hidden="false" customHeight="false" outlineLevel="0" collapsed="false">
      <c r="A11" s="4" t="s">
        <v>13</v>
      </c>
      <c r="B11" s="12" t="n">
        <v>70</v>
      </c>
      <c r="C11" s="12" t="n">
        <v>74</v>
      </c>
      <c r="D11" s="12" t="n">
        <v>70</v>
      </c>
      <c r="E11" s="12" t="n">
        <v>75</v>
      </c>
      <c r="F11" s="12" t="n">
        <v>75</v>
      </c>
      <c r="G11" s="12" t="n">
        <v>90</v>
      </c>
      <c r="H11" s="12" t="n">
        <v>79</v>
      </c>
      <c r="I11" s="13" t="n">
        <f aca="false">B11</f>
        <v>70</v>
      </c>
      <c r="J11" s="13" t="n">
        <f aca="false">LOOKUP(9.99E+307,B11:H11)</f>
        <v>79</v>
      </c>
      <c r="K11" s="14" t="n">
        <f aca="false">J11-I11</f>
        <v>9</v>
      </c>
      <c r="L11" s="15" t="n">
        <f aca="false">AVERAGE(B11:H11)</f>
        <v>76.1428571428571</v>
      </c>
      <c r="M11" s="13" t="n">
        <f aca="false">MAX(B11:H11)</f>
        <v>90</v>
      </c>
    </row>
    <row r="12" customFormat="false" ht="15" hidden="false" customHeight="false" outlineLevel="0" collapsed="false">
      <c r="A12" s="4" t="s">
        <v>14</v>
      </c>
      <c r="B12" s="12" t="n">
        <v>69</v>
      </c>
      <c r="C12" s="12" t="n">
        <v>65</v>
      </c>
      <c r="D12" s="12" t="n">
        <v>71</v>
      </c>
      <c r="E12" s="12" t="n">
        <v>84</v>
      </c>
      <c r="F12" s="12" t="n">
        <v>75</v>
      </c>
      <c r="G12" s="12" t="n">
        <v>92</v>
      </c>
      <c r="H12" s="12" t="n">
        <v>86</v>
      </c>
      <c r="I12" s="13" t="n">
        <f aca="false">B12</f>
        <v>69</v>
      </c>
      <c r="J12" s="13" t="n">
        <f aca="false">LOOKUP(9.99E+307,B12:H12)</f>
        <v>86</v>
      </c>
      <c r="K12" s="14" t="n">
        <f aca="false">J12-I12</f>
        <v>17</v>
      </c>
      <c r="L12" s="15" t="n">
        <f aca="false">AVERAGE(B12:H12)</f>
        <v>77.4285714285714</v>
      </c>
      <c r="M12" s="13" t="n">
        <f aca="false">MAX(B12:H12)</f>
        <v>92</v>
      </c>
    </row>
    <row r="13" customFormat="false" ht="15" hidden="false" customHeight="false" outlineLevel="0" collapsed="false">
      <c r="A13" s="8" t="s">
        <v>15</v>
      </c>
      <c r="B13" s="16" t="n">
        <f aca="false">AVERAGE(B9:B12)</f>
        <v>67</v>
      </c>
      <c r="C13" s="16" t="n">
        <f aca="false">AVERAGE(C9:C12)</f>
        <v>73</v>
      </c>
      <c r="D13" s="16" t="n">
        <f aca="false">AVERAGE(D9:D12)</f>
        <v>73.75</v>
      </c>
      <c r="E13" s="16" t="n">
        <f aca="false">AVERAGE(E9:E12)</f>
        <v>83.5</v>
      </c>
      <c r="F13" s="16" t="n">
        <f aca="false">AVERAGE(F9:F12)</f>
        <v>81.75</v>
      </c>
      <c r="G13" s="16" t="n">
        <f aca="false">AVERAGE(G9:G12)</f>
        <v>94.5</v>
      </c>
      <c r="H13" s="16" t="n">
        <f aca="false">AVERAGE(H9:H12)</f>
        <v>89</v>
      </c>
      <c r="I13" s="16" t="n">
        <f aca="false">B13</f>
        <v>67</v>
      </c>
      <c r="J13" s="16" t="n">
        <f aca="false">H13</f>
        <v>89</v>
      </c>
      <c r="K13" s="10" t="n">
        <f aca="false">J13-I13</f>
        <v>22</v>
      </c>
      <c r="L13" s="16" t="n">
        <f aca="false">AVERAGE(B9:H12)</f>
        <v>80.3571428571429</v>
      </c>
      <c r="M13" s="16" t="n">
        <f aca="false">MAX(B13:H13)</f>
        <v>94.5</v>
      </c>
    </row>
    <row r="14" customFormat="false" ht="15" hidden="false" customHeight="false" outlineLevel="0" collapsed="false">
      <c r="A14" s="11" t="s">
        <v>34</v>
      </c>
    </row>
  </sheetData>
  <mergeCells count="4">
    <mergeCell ref="A3:M3"/>
    <mergeCell ref="A4:M4"/>
    <mergeCell ref="A5:M5"/>
    <mergeCell ref="A6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3"/>
  </cols>
  <sheetData>
    <row r="1" customFormat="false" ht="19.4" hidden="false" customHeight="false" outlineLevel="0" collapsed="false">
      <c r="A1" s="1" t="s">
        <v>35</v>
      </c>
    </row>
    <row r="3" customFormat="false" ht="18" hidden="false" customHeight="true" outlineLevel="0" collapsed="false">
      <c r="A3" s="2" t="s">
        <v>36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8" hidden="false" customHeight="true" outlineLevel="0" collapsed="false">
      <c r="A4" s="2" t="s">
        <v>37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8" hidden="false" customHeight="true" outlineLevel="0" collapsed="false">
      <c r="A5" s="2" t="s">
        <v>38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8" hidden="false" customHeight="true" outlineLevel="0" collapsed="false">
      <c r="A6" s="2" t="s">
        <v>39</v>
      </c>
      <c r="B6" s="2"/>
      <c r="C6" s="2"/>
      <c r="D6" s="2"/>
      <c r="E6" s="2"/>
      <c r="F6" s="2"/>
      <c r="G6" s="2"/>
      <c r="H6" s="2"/>
      <c r="I6" s="2"/>
      <c r="J6" s="2"/>
    </row>
    <row r="7" customFormat="false" ht="18" hidden="false" customHeight="true" outlineLevel="0" collapsed="false">
      <c r="A7" s="2" t="s">
        <v>40</v>
      </c>
      <c r="B7" s="2"/>
      <c r="C7" s="2"/>
      <c r="D7" s="2"/>
      <c r="E7" s="2"/>
      <c r="F7" s="2"/>
      <c r="G7" s="2"/>
      <c r="H7" s="2"/>
      <c r="I7" s="2"/>
      <c r="J7" s="2"/>
    </row>
    <row r="9" customFormat="false" ht="33.75" hidden="false" customHeight="true" outlineLevel="0" collapsed="false">
      <c r="A9" s="3" t="s">
        <v>5</v>
      </c>
      <c r="B9" s="3" t="s">
        <v>41</v>
      </c>
      <c r="C9" s="3" t="s">
        <v>42</v>
      </c>
      <c r="D9" s="3" t="s">
        <v>43</v>
      </c>
      <c r="E9" s="3" t="s">
        <v>44</v>
      </c>
      <c r="F9" s="3" t="s">
        <v>29</v>
      </c>
      <c r="G9" s="3" t="s">
        <v>30</v>
      </c>
      <c r="H9" s="3" t="s">
        <v>31</v>
      </c>
      <c r="I9" s="3" t="s">
        <v>32</v>
      </c>
      <c r="J9" s="3" t="s">
        <v>33</v>
      </c>
    </row>
    <row r="10" customFormat="false" ht="15" hidden="false" customHeight="false" outlineLevel="0" collapsed="false">
      <c r="A10" s="4" t="s">
        <v>11</v>
      </c>
      <c r="B10" s="12" t="n">
        <v>89</v>
      </c>
      <c r="C10" s="12" t="n">
        <v>100</v>
      </c>
      <c r="D10" s="12" t="n">
        <v>95</v>
      </c>
      <c r="E10" s="12" t="n">
        <v>92</v>
      </c>
      <c r="F10" s="13" t="n">
        <f aca="false">B10</f>
        <v>89</v>
      </c>
      <c r="G10" s="13" t="n">
        <f aca="false">LOOKUP(9.99E+307,B10:E10)</f>
        <v>92</v>
      </c>
      <c r="H10" s="14" t="n">
        <f aca="false">G10-F10</f>
        <v>3</v>
      </c>
      <c r="I10" s="15" t="n">
        <f aca="false">AVERAGE(B10:E10)</f>
        <v>94</v>
      </c>
      <c r="J10" s="13" t="n">
        <f aca="false">MAX(B10:E10)</f>
        <v>100</v>
      </c>
    </row>
    <row r="11" customFormat="false" ht="15" hidden="false" customHeight="false" outlineLevel="0" collapsed="false">
      <c r="A11" s="4" t="s">
        <v>12</v>
      </c>
      <c r="B11" s="12" t="n">
        <v>92</v>
      </c>
      <c r="C11" s="12" t="n">
        <v>84</v>
      </c>
      <c r="D11" s="12" t="n">
        <v>95</v>
      </c>
      <c r="E11" s="12" t="n">
        <v>95</v>
      </c>
      <c r="F11" s="13" t="n">
        <f aca="false">B11</f>
        <v>92</v>
      </c>
      <c r="G11" s="13" t="n">
        <f aca="false">LOOKUP(9.99E+307,B11:E11)</f>
        <v>95</v>
      </c>
      <c r="H11" s="14" t="n">
        <f aca="false">G11-F11</f>
        <v>3</v>
      </c>
      <c r="I11" s="15" t="n">
        <f aca="false">AVERAGE(B11:E11)</f>
        <v>91.5</v>
      </c>
      <c r="J11" s="13" t="n">
        <f aca="false">MAX(B11:E11)</f>
        <v>95</v>
      </c>
    </row>
    <row r="12" customFormat="false" ht="15" hidden="false" customHeight="false" outlineLevel="0" collapsed="false">
      <c r="A12" s="4" t="s">
        <v>13</v>
      </c>
      <c r="B12" s="12" t="n">
        <v>94</v>
      </c>
      <c r="C12" s="12" t="n">
        <v>77</v>
      </c>
      <c r="D12" s="12" t="n">
        <v>89</v>
      </c>
      <c r="E12" s="12" t="n">
        <v>74</v>
      </c>
      <c r="F12" s="13" t="n">
        <f aca="false">B12</f>
        <v>94</v>
      </c>
      <c r="G12" s="13" t="n">
        <f aca="false">LOOKUP(9.99E+307,B12:E12)</f>
        <v>74</v>
      </c>
      <c r="H12" s="14" t="n">
        <f aca="false">G12-F12</f>
        <v>-20</v>
      </c>
      <c r="I12" s="15" t="n">
        <f aca="false">AVERAGE(B12:E12)</f>
        <v>83.5</v>
      </c>
      <c r="J12" s="13" t="n">
        <f aca="false">MAX(B12:E12)</f>
        <v>94</v>
      </c>
    </row>
    <row r="13" customFormat="false" ht="15" hidden="false" customHeight="false" outlineLevel="0" collapsed="false">
      <c r="A13" s="4" t="s">
        <v>14</v>
      </c>
      <c r="B13" s="12" t="n">
        <v>69</v>
      </c>
      <c r="C13" s="12" t="n">
        <v>70</v>
      </c>
      <c r="D13" s="12" t="n">
        <v>89</v>
      </c>
      <c r="E13" s="12" t="n">
        <v>85</v>
      </c>
      <c r="F13" s="13" t="n">
        <f aca="false">B13</f>
        <v>69</v>
      </c>
      <c r="G13" s="13" t="n">
        <f aca="false">LOOKUP(9.99E+307,B13:E13)</f>
        <v>85</v>
      </c>
      <c r="H13" s="14" t="n">
        <f aca="false">G13-F13</f>
        <v>16</v>
      </c>
      <c r="I13" s="15" t="n">
        <f aca="false">AVERAGE(B13:E13)</f>
        <v>78.25</v>
      </c>
      <c r="J13" s="13" t="n">
        <f aca="false">MAX(B13:E13)</f>
        <v>89</v>
      </c>
    </row>
    <row r="14" customFormat="false" ht="15" hidden="false" customHeight="false" outlineLevel="0" collapsed="false">
      <c r="A14" s="8" t="s">
        <v>15</v>
      </c>
      <c r="B14" s="16" t="n">
        <f aca="false">AVERAGE(B10:B13)</f>
        <v>86</v>
      </c>
      <c r="C14" s="16" t="n">
        <f aca="false">AVERAGE(C10:C13)</f>
        <v>82.75</v>
      </c>
      <c r="D14" s="16" t="n">
        <f aca="false">AVERAGE(D10:D13)</f>
        <v>92</v>
      </c>
      <c r="E14" s="16" t="n">
        <f aca="false">AVERAGE(E10:E13)</f>
        <v>86.5</v>
      </c>
      <c r="F14" s="16" t="n">
        <f aca="false">B14</f>
        <v>86</v>
      </c>
      <c r="G14" s="16" t="n">
        <f aca="false">E14</f>
        <v>86.5</v>
      </c>
      <c r="H14" s="10" t="n">
        <f aca="false">G14-F14</f>
        <v>0.5</v>
      </c>
      <c r="I14" s="16" t="n">
        <f aca="false">AVERAGE(B10:E13)</f>
        <v>86.8125</v>
      </c>
      <c r="J14" s="16" t="n">
        <f aca="false">MAX(B14:E14)</f>
        <v>92</v>
      </c>
    </row>
    <row r="15" customFormat="false" ht="15" hidden="false" customHeight="false" outlineLevel="0" collapsed="false">
      <c r="A15" s="11" t="s">
        <v>34</v>
      </c>
    </row>
  </sheetData>
  <mergeCells count="5">
    <mergeCell ref="A3:J3"/>
    <mergeCell ref="A4:J4"/>
    <mergeCell ref="A5:J5"/>
    <mergeCell ref="A6:J6"/>
    <mergeCell ref="A7:J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" t="s">
        <v>45</v>
      </c>
    </row>
    <row r="3" customFormat="false" ht="18" hidden="false" customHeight="true" outlineLevel="0" collapsed="false">
      <c r="A3" s="2" t="s">
        <v>46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47</v>
      </c>
      <c r="B4" s="2"/>
      <c r="C4" s="2"/>
      <c r="D4" s="2"/>
      <c r="E4" s="2"/>
      <c r="F4" s="2"/>
      <c r="G4" s="2"/>
      <c r="H4" s="2"/>
    </row>
    <row r="5" customFormat="false" ht="36" hidden="false" customHeight="true" outlineLevel="0" collapsed="false">
      <c r="A5" s="2" t="s">
        <v>48</v>
      </c>
      <c r="B5" s="2"/>
      <c r="C5" s="2"/>
      <c r="D5" s="2"/>
      <c r="E5" s="2"/>
      <c r="F5" s="2"/>
      <c r="G5" s="2"/>
      <c r="H5" s="2"/>
    </row>
    <row r="7" customFormat="false" ht="33.75" hidden="false" customHeight="true" outlineLevel="0" collapsed="false">
      <c r="A7" s="3" t="s">
        <v>5</v>
      </c>
      <c r="B7" s="3" t="s">
        <v>49</v>
      </c>
      <c r="C7" s="3" t="s">
        <v>32</v>
      </c>
    </row>
    <row r="8" customFormat="false" ht="15" hidden="false" customHeight="false" outlineLevel="0" collapsed="false">
      <c r="A8" s="4" t="s">
        <v>11</v>
      </c>
      <c r="B8" s="12" t="n">
        <v>100</v>
      </c>
      <c r="C8" s="15" t="n">
        <f aca="false">AVERAGE(B8:B8)</f>
        <v>100</v>
      </c>
    </row>
    <row r="9" customFormat="false" ht="15" hidden="false" customHeight="false" outlineLevel="0" collapsed="false">
      <c r="A9" s="4" t="s">
        <v>12</v>
      </c>
      <c r="B9" s="12" t="n">
        <v>100</v>
      </c>
      <c r="C9" s="15" t="n">
        <f aca="false">AVERAGE(B9:B9)</f>
        <v>100</v>
      </c>
    </row>
    <row r="10" customFormat="false" ht="15" hidden="false" customHeight="false" outlineLevel="0" collapsed="false">
      <c r="A10" s="4" t="s">
        <v>13</v>
      </c>
      <c r="B10" s="12" t="n">
        <v>87</v>
      </c>
      <c r="C10" s="15" t="n">
        <f aca="false">AVERAGE(B10:B10)</f>
        <v>87</v>
      </c>
    </row>
    <row r="11" customFormat="false" ht="15" hidden="false" customHeight="false" outlineLevel="0" collapsed="false">
      <c r="A11" s="4" t="s">
        <v>14</v>
      </c>
      <c r="B11" s="12" t="n">
        <v>82</v>
      </c>
      <c r="C11" s="15" t="n">
        <f aca="false">AVERAGE(B11:B11)</f>
        <v>82</v>
      </c>
    </row>
    <row r="12" customFormat="false" ht="15" hidden="false" customHeight="false" outlineLevel="0" collapsed="false">
      <c r="A12" s="8" t="s">
        <v>15</v>
      </c>
      <c r="B12" s="16" t="n">
        <f aca="false">AVERAGE(B8:B11)</f>
        <v>92.25</v>
      </c>
      <c r="C12" s="16" t="n">
        <f aca="false">AVERAGE(B8:B11)</f>
        <v>92.25</v>
      </c>
    </row>
    <row r="13" customFormat="false" ht="15" hidden="false" customHeight="false" outlineLevel="0" collapsed="false">
      <c r="A13" s="11" t="s">
        <v>34</v>
      </c>
    </row>
  </sheetData>
  <mergeCells count="3">
    <mergeCell ref="A3:H3"/>
    <mergeCell ref="A4:H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2026-10-28T05:01:04Z</dcterms:created>
  <dc:creator>openpyxl</dc:creator>
  <dc:description/>
  <dc:language>en-US</dc:language>
  <cp:lastModifiedBy/>
  <dcterms:modified xsi:type="dcterms:W3CDTF">2026-10-28T05:01:07Z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