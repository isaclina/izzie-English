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총점 성장 요약" sheetId="1" state="visible" r:id="rId3"/>
    <sheet name="고1 모의고사" sheetId="2" state="visible" r:id="rId4"/>
    <sheet name="고2 모의고사" sheetId="3" state="visible" r:id="rId5"/>
    <sheet name="고3 모의고사·수능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<sst xmlns="http://schemas.openxmlformats.org/spreadsheetml/2006/main" count="76" uniqueCount="50">
  <si>
    <r>
      <rPr>
        <b val="true"/>
        <sz val="14"/>
        <rFont val="WenQuanYi Zen Hei"/>
        <family val="2"/>
      </rPr>
      <t xml:space="preserve">구성관 반 </t>
    </r>
    <r>
      <rPr>
        <b val="true"/>
        <sz val="14"/>
        <rFont val="Arial"/>
        <family val="0"/>
        <charset val="1"/>
      </rPr>
      <t xml:space="preserve">· </t>
    </r>
    <r>
      <rPr>
        <b val="true"/>
        <sz val="14"/>
        <rFont val="WenQuanYi Zen Hei"/>
        <family val="2"/>
      </rPr>
      <t xml:space="preserve">시험 수준별 총점 성장</t>
    </r>
  </si>
  <si>
    <r>
      <rPr>
        <sz val="11"/>
        <rFont val="WenQuanYi Zen Hei"/>
        <family val="2"/>
      </rPr>
      <t xml:space="preserve">■ 시험이 고</t>
    </r>
    <r>
      <rPr>
        <sz val="11"/>
        <rFont val="Arial"/>
        <family val="0"/>
        <charset val="1"/>
      </rPr>
      <t xml:space="preserve">1 → </t>
    </r>
    <r>
      <rPr>
        <sz val="11"/>
        <rFont val="WenQuanYi Zen Hei"/>
        <family val="2"/>
      </rPr>
      <t xml:space="preserve">고</t>
    </r>
    <r>
      <rPr>
        <sz val="11"/>
        <rFont val="Arial"/>
        <family val="0"/>
        <charset val="1"/>
      </rPr>
      <t xml:space="preserve">2 → </t>
    </r>
    <r>
      <rPr>
        <sz val="11"/>
        <rFont val="WenQuanYi Zen Hei"/>
        <family val="2"/>
      </rPr>
      <t xml:space="preserve">고</t>
    </r>
    <r>
      <rPr>
        <sz val="11"/>
        <rFont val="Arial"/>
        <family val="0"/>
        <charset val="1"/>
      </rPr>
      <t xml:space="preserve">3·</t>
    </r>
    <r>
      <rPr>
        <sz val="11"/>
        <rFont val="WenQuanYi Zen Hei"/>
        <family val="2"/>
      </rPr>
      <t xml:space="preserve">수능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으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로 어려워지는데도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그룹별 반 평균 총점은 고</t>
    </r>
    <r>
      <rPr>
        <sz val="11"/>
        <rFont val="Arial"/>
        <family val="0"/>
        <charset val="1"/>
      </rPr>
      <t xml:space="preserve">1 80.4</t>
    </r>
    <r>
      <rPr>
        <sz val="11"/>
        <rFont val="WenQuanYi Zen Hei"/>
        <family val="2"/>
      </rPr>
      <t xml:space="preserve">점 → 고</t>
    </r>
    <r>
      <rPr>
        <sz val="11"/>
        <rFont val="Arial"/>
        <family val="0"/>
        <charset val="1"/>
      </rPr>
      <t xml:space="preserve">2 86.8</t>
    </r>
    <r>
      <rPr>
        <sz val="11"/>
        <rFont val="WenQuanYi Zen Hei"/>
        <family val="2"/>
      </rPr>
      <t xml:space="preserve">점 → 고</t>
    </r>
    <r>
      <rPr>
        <sz val="11"/>
        <rFont val="Arial"/>
        <family val="0"/>
        <charset val="1"/>
      </rPr>
      <t xml:space="preserve">3+</t>
    </r>
    <r>
      <rPr>
        <sz val="11"/>
        <rFont val="WenQuanYi Zen Hei"/>
        <family val="2"/>
      </rPr>
      <t xml:space="preserve">수능 </t>
    </r>
    <r>
      <rPr>
        <sz val="11"/>
        <rFont val="Arial"/>
        <family val="0"/>
        <charset val="1"/>
      </rPr>
      <t xml:space="preserve">92.3</t>
    </r>
    <r>
      <rPr>
        <sz val="11"/>
        <rFont val="WenQuanYi Zen Hei"/>
        <family val="2"/>
      </rPr>
      <t xml:space="preserve">점으로 계속 올랐습니다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</si>
  <si>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■ 중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첫 고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모의고사 반 평균은 </t>
    </r>
    <r>
      <rPr>
        <sz val="11"/>
        <rFont val="Arial"/>
        <family val="0"/>
        <charset val="1"/>
      </rPr>
      <t xml:space="preserve">67.0</t>
    </r>
    <r>
      <rPr>
        <sz val="11"/>
        <rFont val="WenQuanYi Zen Hei"/>
        <family val="2"/>
      </rPr>
      <t xml:space="preserve">점이었습니다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마지막 그룹 평균은 그보다 </t>
    </r>
    <r>
      <rPr>
        <sz val="11"/>
        <rFont val="Arial"/>
        <family val="0"/>
        <charset val="1"/>
      </rPr>
      <t xml:space="preserve">+25.2</t>
    </r>
    <r>
      <rPr>
        <sz val="11"/>
        <rFont val="WenQuanYi Zen Hei"/>
        <family val="2"/>
      </rPr>
      <t xml:space="preserve">점 높습니다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</si>
  <si>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■ 학생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명 중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명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구성관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송지효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신준섭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박주연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은 그룹이 올라갈 때마다 평균 점수도 올랐습니다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</si>
  <si>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■ 그룹 평균 </t>
    </r>
    <r>
      <rPr>
        <sz val="11"/>
        <rFont val="Arial"/>
        <family val="0"/>
        <charset val="1"/>
      </rPr>
      <t xml:space="preserve">= </t>
    </r>
    <r>
      <rPr>
        <sz val="11"/>
        <rFont val="WenQuanYi Zen Hei"/>
        <family val="2"/>
      </rPr>
      <t xml:space="preserve">그 수준 시험을 본 모든 회차 점수의 평균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각 그룹 시트에 시험별 점수와 첫 시험 → 마지막 시험 변화가 있습니다</t>
    </r>
    <r>
      <rPr>
        <sz val="11"/>
        <rFont val="Arial"/>
        <family val="0"/>
        <charset val="1"/>
      </rPr>
      <t xml:space="preserve">.</t>
    </r>
  </si>
  <si>
    <t xml:space="preserve">학생</t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</si>
  <si>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1 </t>
    </r>
    <r>
      <rPr>
        <b val="true"/>
        <sz val="11"/>
        <rFont val="WenQuanYi Zen Hei"/>
        <family val="2"/>
      </rPr>
      <t xml:space="preserve">첫 시험</t>
    </r>
  </si>
  <si>
    <r>
      <rPr>
        <b val="true"/>
        <sz val="11"/>
        <rFont val="WenQuanYi Zen Hei"/>
        <family val="2"/>
      </rPr>
      <t xml:space="preserve">고</t>
    </r>
    <r>
      <rPr>
        <b val="true"/>
        <sz val="11"/>
        <rFont val="Arial"/>
        <family val="0"/>
        <charset val="1"/>
      </rPr>
      <t xml:space="preserve">1 </t>
    </r>
    <r>
      <rPr>
        <b val="true"/>
        <sz val="11"/>
        <rFont val="WenQuanYi Zen Hei"/>
        <family val="2"/>
      </rPr>
      <t xml:space="preserve">모의고사
평균</t>
    </r>
  </si>
  <si>
    <r>
      <rPr>
        <b val="true"/>
        <sz val="11"/>
        <rFont val="WenQuanYi Zen Hei"/>
        <family val="2"/>
      </rPr>
      <t xml:space="preserve">고</t>
    </r>
    <r>
      <rPr>
        <b val="true"/>
        <sz val="11"/>
        <rFont val="Arial"/>
        <family val="0"/>
        <charset val="1"/>
      </rPr>
      <t xml:space="preserve">2 </t>
    </r>
    <r>
      <rPr>
        <b val="true"/>
        <sz val="11"/>
        <rFont val="WenQuanYi Zen Hei"/>
        <family val="2"/>
      </rPr>
      <t xml:space="preserve">모의고사
평균</t>
    </r>
  </si>
  <si>
    <r>
      <rPr>
        <b val="true"/>
        <sz val="11"/>
        <rFont val="WenQuanYi Zen Hei"/>
        <family val="2"/>
      </rPr>
      <t xml:space="preserve">고</t>
    </r>
    <r>
      <rPr>
        <b val="true"/>
        <sz val="11"/>
        <rFont val="Arial"/>
        <family val="0"/>
        <charset val="1"/>
      </rPr>
      <t xml:space="preserve">3 </t>
    </r>
    <r>
      <rPr>
        <b val="true"/>
        <sz val="11"/>
        <rFont val="WenQuanYi Zen Hei"/>
        <family val="2"/>
      </rPr>
      <t xml:space="preserve">모의고사</t>
    </r>
    <r>
      <rPr>
        <b val="true"/>
        <sz val="11"/>
        <rFont val="Arial"/>
        <family val="0"/>
        <charset val="1"/>
      </rPr>
      <t xml:space="preserve">+</t>
    </r>
    <r>
      <rPr>
        <b val="true"/>
        <sz val="11"/>
        <rFont val="WenQuanYi Zen Hei"/>
        <family val="2"/>
      </rPr>
      <t xml:space="preserve">수능
평균</t>
    </r>
  </si>
  <si>
    <t xml:space="preserve">첫 시험 →
마지막 그룹 평균</t>
  </si>
  <si>
    <t xml:space="preserve">구성관</t>
  </si>
  <si>
    <t xml:space="preserve">송지효</t>
  </si>
  <si>
    <t xml:space="preserve">신준섭</t>
  </si>
  <si>
    <t xml:space="preserve">박주연</t>
  </si>
  <si>
    <t xml:space="preserve">반 평균</t>
  </si>
  <si>
    <r>
      <rPr>
        <sz val="9"/>
        <color rgb="FF666666"/>
        <rFont val="WenQuanYi Zen Hei"/>
        <family val="2"/>
      </rPr>
      <t xml:space="preserve">등급 기준</t>
    </r>
    <r>
      <rPr>
        <sz val="9"/>
        <color rgb="FF666666"/>
        <rFont val="Arial"/>
        <family val="0"/>
        <charset val="1"/>
      </rPr>
      <t xml:space="preserve">: 90</t>
    </r>
    <r>
      <rPr>
        <sz val="9"/>
        <color rgb="FF666666"/>
        <rFont val="WenQuanYi Zen Hei"/>
        <family val="2"/>
      </rPr>
      <t xml:space="preserve">점 이상 </t>
    </r>
    <r>
      <rPr>
        <sz val="9"/>
        <color rgb="FF666666"/>
        <rFont val="Arial"/>
        <family val="0"/>
        <charset val="1"/>
      </rPr>
      <t xml:space="preserve">1</t>
    </r>
    <r>
      <rPr>
        <sz val="9"/>
        <color rgb="FF666666"/>
        <rFont val="WenQuanYi Zen Hei"/>
        <family val="2"/>
      </rPr>
      <t xml:space="preserve">등급</t>
    </r>
    <r>
      <rPr>
        <sz val="9"/>
        <color rgb="FF666666"/>
        <rFont val="Arial"/>
        <family val="0"/>
        <charset val="1"/>
      </rPr>
      <t xml:space="preserve">, 80~89</t>
    </r>
    <r>
      <rPr>
        <sz val="9"/>
        <color rgb="FF666666"/>
        <rFont val="WenQuanYi Zen Hei"/>
        <family val="2"/>
      </rPr>
      <t xml:space="preserve">점 </t>
    </r>
    <r>
      <rPr>
        <sz val="9"/>
        <color rgb="FF666666"/>
        <rFont val="Arial"/>
        <family val="0"/>
        <charset val="1"/>
      </rPr>
      <t xml:space="preserve">2</t>
    </r>
    <r>
      <rPr>
        <sz val="9"/>
        <color rgb="FF666666"/>
        <rFont val="WenQuanYi Zen Hei"/>
        <family val="2"/>
      </rPr>
      <t xml:space="preserve">등급</t>
    </r>
    <r>
      <rPr>
        <sz val="9"/>
        <color rgb="FF666666"/>
        <rFont val="Arial"/>
        <family val="0"/>
        <charset val="1"/>
      </rPr>
      <t xml:space="preserve">, 70~79</t>
    </r>
    <r>
      <rPr>
        <sz val="9"/>
        <color rgb="FF666666"/>
        <rFont val="WenQuanYi Zen Hei"/>
        <family val="2"/>
      </rPr>
      <t xml:space="preserve">점 </t>
    </r>
    <r>
      <rPr>
        <sz val="9"/>
        <color rgb="FF666666"/>
        <rFont val="Arial"/>
        <family val="0"/>
        <charset val="1"/>
      </rPr>
      <t xml:space="preserve">3</t>
    </r>
    <r>
      <rPr>
        <sz val="9"/>
        <color rgb="FF666666"/>
        <rFont val="WenQuanYi Zen Hei"/>
        <family val="2"/>
      </rPr>
      <t xml:space="preserve">등급</t>
    </r>
    <r>
      <rPr>
        <sz val="9"/>
        <color rgb="FF666666"/>
        <rFont val="Arial"/>
        <family val="0"/>
        <charset val="1"/>
      </rPr>
      <t xml:space="preserve">, 60~69</t>
    </r>
    <r>
      <rPr>
        <sz val="9"/>
        <color rgb="FF666666"/>
        <rFont val="WenQuanYi Zen Hei"/>
        <family val="2"/>
      </rPr>
      <t xml:space="preserve">점 </t>
    </r>
    <r>
      <rPr>
        <sz val="9"/>
        <color rgb="FF666666"/>
        <rFont val="Arial"/>
        <family val="0"/>
        <charset val="1"/>
      </rPr>
      <t xml:space="preserve">4</t>
    </r>
    <r>
      <rPr>
        <sz val="9"/>
        <color rgb="FF666666"/>
        <rFont val="WenQuanYi Zen Hei"/>
        <family val="2"/>
      </rPr>
      <t xml:space="preserve">등급 </t>
    </r>
    <r>
      <rPr>
        <sz val="9"/>
        <color rgb="FF666666"/>
        <rFont val="Arial"/>
        <family val="0"/>
        <charset val="1"/>
      </rPr>
      <t xml:space="preserve">· </t>
    </r>
    <r>
      <rPr>
        <sz val="9"/>
        <color rgb="FF666666"/>
        <rFont val="WenQuanYi Zen Hei"/>
        <family val="2"/>
      </rPr>
      <t xml:space="preserve">파란 글씨 </t>
    </r>
    <r>
      <rPr>
        <sz val="9"/>
        <color rgb="FF666666"/>
        <rFont val="Arial"/>
        <family val="0"/>
        <charset val="1"/>
      </rPr>
      <t xml:space="preserve">= </t>
    </r>
    <r>
      <rPr>
        <sz val="9"/>
        <color rgb="FF666666"/>
        <rFont val="WenQuanYi Zen Hei"/>
        <family val="2"/>
      </rPr>
      <t xml:space="preserve">성적표 입력값</t>
    </r>
    <r>
      <rPr>
        <sz val="9"/>
        <color rgb="FF666666"/>
        <rFont val="Arial"/>
        <family val="0"/>
        <charset val="1"/>
      </rPr>
      <t xml:space="preserve">, </t>
    </r>
    <r>
      <rPr>
        <sz val="9"/>
        <color rgb="FF666666"/>
        <rFont val="WenQuanYi Zen Hei"/>
        <family val="2"/>
      </rPr>
      <t xml:space="preserve">초록 </t>
    </r>
    <r>
      <rPr>
        <sz val="9"/>
        <color rgb="FF666666"/>
        <rFont val="Arial"/>
        <family val="0"/>
        <charset val="1"/>
      </rPr>
      <t xml:space="preserve">= </t>
    </r>
    <r>
      <rPr>
        <sz val="9"/>
        <color rgb="FF666666"/>
        <rFont val="WenQuanYi Zen Hei"/>
        <family val="2"/>
      </rPr>
      <t xml:space="preserve">다른 시트 값</t>
    </r>
    <r>
      <rPr>
        <sz val="9"/>
        <color rgb="FF666666"/>
        <rFont val="Arial"/>
        <family val="0"/>
        <charset val="1"/>
      </rPr>
      <t xml:space="preserve">, </t>
    </r>
    <r>
      <rPr>
        <sz val="9"/>
        <color rgb="FF666666"/>
        <rFont val="WenQuanYi Zen Hei"/>
        <family val="2"/>
      </rPr>
      <t xml:space="preserve">검은 </t>
    </r>
    <r>
      <rPr>
        <sz val="9"/>
        <color rgb="FF666666"/>
        <rFont val="Arial"/>
        <family val="0"/>
        <charset val="1"/>
      </rPr>
      <t xml:space="preserve">= </t>
    </r>
    <r>
      <rPr>
        <sz val="9"/>
        <color rgb="FF666666"/>
        <rFont val="WenQuanYi Zen Hei"/>
        <family val="2"/>
      </rPr>
      <t xml:space="preserve">계산식</t>
    </r>
  </si>
  <si>
    <r>
      <rPr>
        <b val="true"/>
        <sz val="14"/>
        <rFont val="WenQuanYi Zen Hei"/>
        <family val="2"/>
      </rPr>
      <t xml:space="preserve">구성관 반 </t>
    </r>
    <r>
      <rPr>
        <b val="true"/>
        <sz val="14"/>
        <rFont val="Arial"/>
        <family val="0"/>
        <charset val="1"/>
      </rPr>
      <t xml:space="preserve">· </t>
    </r>
    <r>
      <rPr>
        <b val="true"/>
        <sz val="14"/>
        <rFont val="WenQuanYi Zen Hei"/>
        <family val="2"/>
      </rPr>
      <t xml:space="preserve">고</t>
    </r>
    <r>
      <rPr>
        <b val="true"/>
        <sz val="14"/>
        <rFont val="Arial"/>
        <family val="0"/>
        <charset val="1"/>
      </rPr>
      <t xml:space="preserve">1 </t>
    </r>
    <r>
      <rPr>
        <b val="true"/>
        <sz val="14"/>
        <rFont val="WenQuanYi Zen Hei"/>
        <family val="2"/>
      </rPr>
      <t xml:space="preserve">모의고사 총점 변화</t>
    </r>
  </si>
  <si>
    <r>
      <rPr>
        <sz val="11"/>
        <rFont val="WenQuanYi Zen Hei"/>
        <family val="2"/>
      </rPr>
      <t xml:space="preserve">■ 시험 </t>
    </r>
    <r>
      <rPr>
        <sz val="11"/>
        <rFont val="Arial"/>
        <family val="0"/>
        <charset val="1"/>
      </rPr>
      <t xml:space="preserve">7</t>
    </r>
    <r>
      <rPr>
        <sz val="11"/>
        <rFont val="WenQuanYi Zen Hei"/>
        <family val="2"/>
      </rPr>
      <t xml:space="preserve">회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1 1</t>
    </r>
    <r>
      <rPr>
        <sz val="11"/>
        <rFont val="WenQuanYi Zen Hei"/>
        <family val="2"/>
      </rPr>
      <t xml:space="preserve">차 </t>
    </r>
    <r>
      <rPr>
        <sz val="11"/>
        <rFont val="Arial"/>
        <family val="0"/>
        <charset val="1"/>
      </rPr>
      <t xml:space="preserve">(2023) </t>
    </r>
    <r>
      <rPr>
        <sz val="11"/>
        <rFont val="WenQuanYi Zen Hei"/>
        <family val="2"/>
      </rPr>
      <t xml:space="preserve">고</t>
    </r>
    <r>
      <rPr>
        <sz val="11"/>
        <rFont val="Arial"/>
        <family val="0"/>
        <charset val="1"/>
      </rPr>
      <t xml:space="preserve">1, 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1 2</t>
    </r>
    <r>
      <rPr>
        <sz val="11"/>
        <rFont val="WenQuanYi Zen Hei"/>
        <family val="2"/>
      </rPr>
      <t xml:space="preserve">차 </t>
    </r>
    <r>
      <rPr>
        <sz val="11"/>
        <rFont val="Arial"/>
        <family val="0"/>
        <charset val="1"/>
      </rPr>
      <t xml:space="preserve">(2023) </t>
    </r>
    <r>
      <rPr>
        <sz val="11"/>
        <rFont val="WenQuanYi Zen Hei"/>
        <family val="2"/>
      </rPr>
      <t xml:space="preserve">고</t>
    </r>
    <r>
      <rPr>
        <sz val="11"/>
        <rFont val="Arial"/>
        <family val="0"/>
        <charset val="1"/>
      </rPr>
      <t xml:space="preserve">1, 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1 3</t>
    </r>
    <r>
      <rPr>
        <sz val="11"/>
        <rFont val="WenQuanYi Zen Hei"/>
        <family val="2"/>
      </rPr>
      <t xml:space="preserve">차 </t>
    </r>
    <r>
      <rPr>
        <sz val="11"/>
        <rFont val="Arial"/>
        <family val="0"/>
        <charset val="1"/>
      </rPr>
      <t xml:space="preserve">(2023) </t>
    </r>
    <r>
      <rPr>
        <sz val="11"/>
        <rFont val="WenQuanYi Zen Hei"/>
        <family val="2"/>
      </rPr>
      <t xml:space="preserve">고</t>
    </r>
    <r>
      <rPr>
        <sz val="11"/>
        <rFont val="Arial"/>
        <family val="0"/>
        <charset val="1"/>
      </rPr>
      <t xml:space="preserve">1, 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1 4</t>
    </r>
    <r>
      <rPr>
        <sz val="11"/>
        <rFont val="WenQuanYi Zen Hei"/>
        <family val="2"/>
      </rPr>
      <t xml:space="preserve">차 </t>
    </r>
    <r>
      <rPr>
        <sz val="11"/>
        <rFont val="Arial"/>
        <family val="0"/>
        <charset val="1"/>
      </rPr>
      <t xml:space="preserve">(2023) </t>
    </r>
    <r>
      <rPr>
        <sz val="11"/>
        <rFont val="WenQuanYi Zen Hei"/>
        <family val="2"/>
      </rPr>
      <t xml:space="preserve">고</t>
    </r>
    <r>
      <rPr>
        <sz val="11"/>
        <rFont val="Arial"/>
        <family val="0"/>
        <charset val="1"/>
      </rPr>
      <t xml:space="preserve">1, 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1 5</t>
    </r>
    <r>
      <rPr>
        <sz val="11"/>
        <rFont val="WenQuanYi Zen Hei"/>
        <family val="2"/>
      </rPr>
      <t xml:space="preserve">차 </t>
    </r>
    <r>
      <rPr>
        <sz val="11"/>
        <rFont val="Arial"/>
        <family val="0"/>
        <charset val="1"/>
      </rPr>
      <t xml:space="preserve">(2023) </t>
    </r>
    <r>
      <rPr>
        <sz val="11"/>
        <rFont val="WenQuanYi Zen Hei"/>
        <family val="2"/>
      </rPr>
      <t xml:space="preserve">고</t>
    </r>
    <r>
      <rPr>
        <sz val="11"/>
        <rFont val="Arial"/>
        <family val="0"/>
        <charset val="1"/>
      </rPr>
      <t xml:space="preserve">1, 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2 1</t>
    </r>
    <r>
      <rPr>
        <sz val="11"/>
        <rFont val="WenQuanYi Zen Hei"/>
        <family val="2"/>
      </rPr>
      <t xml:space="preserve">차 </t>
    </r>
    <r>
      <rPr>
        <sz val="11"/>
        <rFont val="Arial"/>
        <family val="0"/>
        <charset val="1"/>
      </rPr>
      <t xml:space="preserve">(2024) </t>
    </r>
    <r>
      <rPr>
        <sz val="11"/>
        <rFont val="WenQuanYi Zen Hei"/>
        <family val="2"/>
      </rPr>
      <t xml:space="preserve">고</t>
    </r>
    <r>
      <rPr>
        <sz val="11"/>
        <rFont val="Arial"/>
        <family val="0"/>
        <charset val="1"/>
      </rPr>
      <t xml:space="preserve">1, 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2 2</t>
    </r>
    <r>
      <rPr>
        <sz val="11"/>
        <rFont val="WenQuanYi Zen Hei"/>
        <family val="2"/>
      </rPr>
      <t xml:space="preserve">차 </t>
    </r>
    <r>
      <rPr>
        <sz val="11"/>
        <rFont val="Arial"/>
        <family val="0"/>
        <charset val="1"/>
      </rPr>
      <t xml:space="preserve">(2024) </t>
    </r>
    <r>
      <rPr>
        <sz val="11"/>
        <rFont val="WenQuanYi Zen Hei"/>
        <family val="2"/>
      </rPr>
      <t xml:space="preserve">고</t>
    </r>
    <r>
      <rPr>
        <sz val="11"/>
        <rFont val="Arial"/>
        <family val="0"/>
        <charset val="1"/>
      </rPr>
      <t xml:space="preserve">1</t>
    </r>
  </si>
  <si>
    <r>
      <rPr>
        <sz val="11"/>
        <rFont val="WenQuanYi Zen Hei"/>
        <family val="2"/>
      </rPr>
      <t xml:space="preserve">■ 반 평균 총점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첫 시험 </t>
    </r>
    <r>
      <rPr>
        <sz val="11"/>
        <rFont val="Arial"/>
        <family val="0"/>
        <charset val="1"/>
      </rPr>
      <t xml:space="preserve">67.0</t>
    </r>
    <r>
      <rPr>
        <sz val="11"/>
        <rFont val="WenQuanYi Zen Hei"/>
        <family val="2"/>
      </rPr>
      <t xml:space="preserve">점 → 마지막 시험 </t>
    </r>
    <r>
      <rPr>
        <sz val="11"/>
        <rFont val="Arial"/>
        <family val="0"/>
        <charset val="1"/>
      </rPr>
      <t xml:space="preserve">89.0</t>
    </r>
    <r>
      <rPr>
        <sz val="11"/>
        <rFont val="WenQuanYi Zen Hei"/>
        <family val="2"/>
      </rPr>
      <t xml:space="preserve">점 </t>
    </r>
    <r>
      <rPr>
        <sz val="11"/>
        <rFont val="Arial"/>
        <family val="0"/>
        <charset val="1"/>
      </rPr>
      <t xml:space="preserve">(+22.0</t>
    </r>
    <r>
      <rPr>
        <sz val="11"/>
        <rFont val="WenQuanYi Zen Hei"/>
        <family val="2"/>
      </rPr>
      <t xml:space="preserve">점</t>
    </r>
    <r>
      <rPr>
        <sz val="11"/>
        <rFont val="Arial"/>
        <family val="0"/>
        <charset val="1"/>
      </rPr>
      <t xml:space="preserve">)</t>
    </r>
  </si>
  <si>
    <r>
      <rPr>
        <sz val="11"/>
        <rFont val="WenQuanYi Zen Hei"/>
        <family val="2"/>
      </rPr>
      <t xml:space="preserve">■ 등급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첫 시험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등급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명</t>
    </r>
    <r>
      <rPr>
        <sz val="11"/>
        <rFont val="Arial"/>
        <family val="0"/>
        <charset val="1"/>
      </rPr>
      <t xml:space="preserve">, 4</t>
    </r>
    <r>
      <rPr>
        <sz val="11"/>
        <rFont val="WenQuanYi Zen Hei"/>
        <family val="2"/>
      </rPr>
      <t xml:space="preserve">등급 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명</t>
    </r>
    <r>
      <rPr>
        <sz val="11"/>
        <rFont val="Arial"/>
        <family val="0"/>
        <charset val="1"/>
      </rPr>
      <t xml:space="preserve">, 5</t>
    </r>
    <r>
      <rPr>
        <sz val="11"/>
        <rFont val="WenQuanYi Zen Hei"/>
        <family val="2"/>
      </rPr>
      <t xml:space="preserve">등급 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명 → 마지막 시험 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등급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명</t>
    </r>
    <r>
      <rPr>
        <sz val="11"/>
        <rFont val="Arial"/>
        <family val="0"/>
        <charset val="1"/>
      </rPr>
      <t xml:space="preserve">, 2</t>
    </r>
    <r>
      <rPr>
        <sz val="11"/>
        <rFont val="WenQuanYi Zen Hei"/>
        <family val="2"/>
      </rPr>
      <t xml:space="preserve">등급 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명</t>
    </r>
    <r>
      <rPr>
        <sz val="11"/>
        <rFont val="Arial"/>
        <family val="0"/>
        <charset val="1"/>
      </rPr>
      <t xml:space="preserve">, 3</t>
    </r>
    <r>
      <rPr>
        <sz val="11"/>
        <rFont val="WenQuanYi Zen Hei"/>
        <family val="2"/>
      </rPr>
      <t xml:space="preserve">등급 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명</t>
    </r>
  </si>
  <si>
    <r>
      <rPr>
        <sz val="11"/>
        <rFont val="WenQuanYi Zen Hei"/>
        <family val="2"/>
      </rPr>
      <t xml:space="preserve">■ 가장 많이 오른 학생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송지효 </t>
    </r>
    <r>
      <rPr>
        <sz val="11"/>
        <rFont val="Arial"/>
        <family val="0"/>
        <charset val="1"/>
      </rPr>
      <t xml:space="preserve">58</t>
    </r>
    <r>
      <rPr>
        <sz val="11"/>
        <rFont val="WenQuanYi Zen Hei"/>
        <family val="2"/>
      </rPr>
      <t xml:space="preserve">점 → </t>
    </r>
    <r>
      <rPr>
        <sz val="11"/>
        <rFont val="Arial"/>
        <family val="0"/>
        <charset val="1"/>
      </rPr>
      <t xml:space="preserve">94</t>
    </r>
    <r>
      <rPr>
        <sz val="11"/>
        <rFont val="WenQuanYi Zen Hei"/>
        <family val="2"/>
      </rPr>
      <t xml:space="preserve">점 </t>
    </r>
    <r>
      <rPr>
        <sz val="11"/>
        <rFont val="Arial"/>
        <family val="0"/>
        <charset val="1"/>
      </rPr>
      <t xml:space="preserve">(+36</t>
    </r>
    <r>
      <rPr>
        <sz val="11"/>
        <rFont val="WenQuanYi Zen Hei"/>
        <family val="2"/>
      </rPr>
      <t xml:space="preserve">점</t>
    </r>
    <r>
      <rPr>
        <sz val="11"/>
        <rFont val="Arial"/>
        <family val="0"/>
        <charset val="1"/>
      </rPr>
      <t xml:space="preserve">)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</si>
  <si>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1 1</t>
    </r>
    <r>
      <rPr>
        <b val="true"/>
        <sz val="11"/>
        <rFont val="WenQuanYi Zen Hei"/>
        <family val="2"/>
      </rPr>
      <t xml:space="preserve">차 </t>
    </r>
    <r>
      <rPr>
        <b val="true"/>
        <sz val="11"/>
        <rFont val="Arial"/>
        <family val="0"/>
        <charset val="1"/>
      </rPr>
      <t xml:space="preserve">(2023)
</t>
    </r>
    <r>
      <rPr>
        <b val="true"/>
        <sz val="11"/>
        <rFont val="WenQuanYi Zen Hei"/>
        <family val="2"/>
      </rPr>
      <t xml:space="preserve">고</t>
    </r>
    <r>
      <rPr>
        <b val="true"/>
        <sz val="11"/>
        <rFont val="Arial"/>
        <family val="0"/>
        <charset val="1"/>
      </rPr>
      <t xml:space="preserve">1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</si>
  <si>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1 2</t>
    </r>
    <r>
      <rPr>
        <b val="true"/>
        <sz val="11"/>
        <rFont val="WenQuanYi Zen Hei"/>
        <family val="2"/>
      </rPr>
      <t xml:space="preserve">차 </t>
    </r>
    <r>
      <rPr>
        <b val="true"/>
        <sz val="11"/>
        <rFont val="Arial"/>
        <family val="0"/>
        <charset val="1"/>
      </rPr>
      <t xml:space="preserve">(2023)
</t>
    </r>
    <r>
      <rPr>
        <b val="true"/>
        <sz val="11"/>
        <rFont val="WenQuanYi Zen Hei"/>
        <family val="2"/>
      </rPr>
      <t xml:space="preserve">고</t>
    </r>
    <r>
      <rPr>
        <b val="true"/>
        <sz val="11"/>
        <rFont val="Arial"/>
        <family val="0"/>
        <charset val="1"/>
      </rPr>
      <t xml:space="preserve">1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</si>
  <si>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1 3</t>
    </r>
    <r>
      <rPr>
        <b val="true"/>
        <sz val="11"/>
        <rFont val="WenQuanYi Zen Hei"/>
        <family val="2"/>
      </rPr>
      <t xml:space="preserve">차 </t>
    </r>
    <r>
      <rPr>
        <b val="true"/>
        <sz val="11"/>
        <rFont val="Arial"/>
        <family val="0"/>
        <charset val="1"/>
      </rPr>
      <t xml:space="preserve">(2023)
</t>
    </r>
    <r>
      <rPr>
        <b val="true"/>
        <sz val="11"/>
        <rFont val="WenQuanYi Zen Hei"/>
        <family val="2"/>
      </rPr>
      <t xml:space="preserve">고</t>
    </r>
    <r>
      <rPr>
        <b val="true"/>
        <sz val="11"/>
        <rFont val="Arial"/>
        <family val="0"/>
        <charset val="1"/>
      </rPr>
      <t xml:space="preserve">1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</si>
  <si>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1 4</t>
    </r>
    <r>
      <rPr>
        <b val="true"/>
        <sz val="11"/>
        <rFont val="WenQuanYi Zen Hei"/>
        <family val="2"/>
      </rPr>
      <t xml:space="preserve">차 </t>
    </r>
    <r>
      <rPr>
        <b val="true"/>
        <sz val="11"/>
        <rFont val="Arial"/>
        <family val="0"/>
        <charset val="1"/>
      </rPr>
      <t xml:space="preserve">(2023)
</t>
    </r>
    <r>
      <rPr>
        <b val="true"/>
        <sz val="11"/>
        <rFont val="WenQuanYi Zen Hei"/>
        <family val="2"/>
      </rPr>
      <t xml:space="preserve">고</t>
    </r>
    <r>
      <rPr>
        <b val="true"/>
        <sz val="11"/>
        <rFont val="Arial"/>
        <family val="0"/>
        <charset val="1"/>
      </rPr>
      <t xml:space="preserve">1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</si>
  <si>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1 5</t>
    </r>
    <r>
      <rPr>
        <b val="true"/>
        <sz val="11"/>
        <rFont val="WenQuanYi Zen Hei"/>
        <family val="2"/>
      </rPr>
      <t xml:space="preserve">차 </t>
    </r>
    <r>
      <rPr>
        <b val="true"/>
        <sz val="11"/>
        <rFont val="Arial"/>
        <family val="0"/>
        <charset val="1"/>
      </rPr>
      <t xml:space="preserve">(2023)
</t>
    </r>
    <r>
      <rPr>
        <b val="true"/>
        <sz val="11"/>
        <rFont val="WenQuanYi Zen Hei"/>
        <family val="2"/>
      </rPr>
      <t xml:space="preserve">고</t>
    </r>
    <r>
      <rPr>
        <b val="true"/>
        <sz val="11"/>
        <rFont val="Arial"/>
        <family val="0"/>
        <charset val="1"/>
      </rPr>
      <t xml:space="preserve">1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</si>
  <si>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2 1</t>
    </r>
    <r>
      <rPr>
        <b val="true"/>
        <sz val="11"/>
        <rFont val="WenQuanYi Zen Hei"/>
        <family val="2"/>
      </rPr>
      <t xml:space="preserve">차 </t>
    </r>
    <r>
      <rPr>
        <b val="true"/>
        <sz val="11"/>
        <rFont val="Arial"/>
        <family val="0"/>
        <charset val="1"/>
      </rPr>
      <t xml:space="preserve">(2024)
</t>
    </r>
    <r>
      <rPr>
        <b val="true"/>
        <sz val="11"/>
        <rFont val="WenQuanYi Zen Hei"/>
        <family val="2"/>
      </rPr>
      <t xml:space="preserve">고</t>
    </r>
    <r>
      <rPr>
        <b val="true"/>
        <sz val="11"/>
        <rFont val="Arial"/>
        <family val="0"/>
        <charset val="1"/>
      </rPr>
      <t xml:space="preserve">1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</si>
  <si>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2 2</t>
    </r>
    <r>
      <rPr>
        <b val="true"/>
        <sz val="11"/>
        <rFont val="WenQuanYi Zen Hei"/>
        <family val="2"/>
      </rPr>
      <t xml:space="preserve">차 </t>
    </r>
    <r>
      <rPr>
        <b val="true"/>
        <sz val="11"/>
        <rFont val="Arial"/>
        <family val="0"/>
        <charset val="1"/>
      </rPr>
      <t xml:space="preserve">(2024)
</t>
    </r>
    <r>
      <rPr>
        <b val="true"/>
        <sz val="11"/>
        <rFont val="WenQuanYi Zen Hei"/>
        <family val="2"/>
      </rPr>
      <t xml:space="preserve">고</t>
    </r>
    <r>
      <rPr>
        <b val="true"/>
        <sz val="11"/>
        <rFont val="Arial"/>
        <family val="0"/>
        <charset val="1"/>
      </rPr>
      <t xml:space="preserve">1</t>
    </r>
  </si>
  <si>
    <t xml:space="preserve">첫 시험</t>
  </si>
  <si>
    <t xml:space="preserve">마지막 시험</t>
  </si>
  <si>
    <t xml:space="preserve">변화</t>
  </si>
  <si>
    <t xml:space="preserve">평균</t>
  </si>
  <si>
    <t xml:space="preserve">최고</t>
  </si>
  <si>
    <r>
      <rPr>
        <sz val="9"/>
        <color rgb="FF666666"/>
        <rFont val="WenQuanYi Zen Hei"/>
        <family val="2"/>
      </rPr>
      <t xml:space="preserve">등급 기준</t>
    </r>
    <r>
      <rPr>
        <sz val="9"/>
        <color rgb="FF666666"/>
        <rFont val="Arial"/>
        <family val="0"/>
        <charset val="1"/>
      </rPr>
      <t xml:space="preserve">: 90</t>
    </r>
    <r>
      <rPr>
        <sz val="9"/>
        <color rgb="FF666666"/>
        <rFont val="WenQuanYi Zen Hei"/>
        <family val="2"/>
      </rPr>
      <t xml:space="preserve">점 이상 </t>
    </r>
    <r>
      <rPr>
        <sz val="9"/>
        <color rgb="FF666666"/>
        <rFont val="Arial"/>
        <family val="0"/>
        <charset val="1"/>
      </rPr>
      <t xml:space="preserve">1</t>
    </r>
    <r>
      <rPr>
        <sz val="9"/>
        <color rgb="FF666666"/>
        <rFont val="WenQuanYi Zen Hei"/>
        <family val="2"/>
      </rPr>
      <t xml:space="preserve">등급</t>
    </r>
    <r>
      <rPr>
        <sz val="9"/>
        <color rgb="FF666666"/>
        <rFont val="Arial"/>
        <family val="0"/>
        <charset val="1"/>
      </rPr>
      <t xml:space="preserve">, 80~89</t>
    </r>
    <r>
      <rPr>
        <sz val="9"/>
        <color rgb="FF666666"/>
        <rFont val="WenQuanYi Zen Hei"/>
        <family val="2"/>
      </rPr>
      <t xml:space="preserve">점 </t>
    </r>
    <r>
      <rPr>
        <sz val="9"/>
        <color rgb="FF666666"/>
        <rFont val="Arial"/>
        <family val="0"/>
        <charset val="1"/>
      </rPr>
      <t xml:space="preserve">2</t>
    </r>
    <r>
      <rPr>
        <sz val="9"/>
        <color rgb="FF666666"/>
        <rFont val="WenQuanYi Zen Hei"/>
        <family val="2"/>
      </rPr>
      <t xml:space="preserve">등급</t>
    </r>
    <r>
      <rPr>
        <sz val="9"/>
        <color rgb="FF666666"/>
        <rFont val="Arial"/>
        <family val="0"/>
        <charset val="1"/>
      </rPr>
      <t xml:space="preserve">, 70~79</t>
    </r>
    <r>
      <rPr>
        <sz val="9"/>
        <color rgb="FF666666"/>
        <rFont val="WenQuanYi Zen Hei"/>
        <family val="2"/>
      </rPr>
      <t xml:space="preserve">점 </t>
    </r>
    <r>
      <rPr>
        <sz val="9"/>
        <color rgb="FF666666"/>
        <rFont val="Arial"/>
        <family val="0"/>
        <charset val="1"/>
      </rPr>
      <t xml:space="preserve">3</t>
    </r>
    <r>
      <rPr>
        <sz val="9"/>
        <color rgb="FF666666"/>
        <rFont val="WenQuanYi Zen Hei"/>
        <family val="2"/>
      </rPr>
      <t xml:space="preserve">등급</t>
    </r>
    <r>
      <rPr>
        <sz val="9"/>
        <color rgb="FF666666"/>
        <rFont val="Arial"/>
        <family val="0"/>
        <charset val="1"/>
      </rPr>
      <t xml:space="preserve">, 60~69</t>
    </r>
    <r>
      <rPr>
        <sz val="9"/>
        <color rgb="FF666666"/>
        <rFont val="WenQuanYi Zen Hei"/>
        <family val="2"/>
      </rPr>
      <t xml:space="preserve">점 </t>
    </r>
    <r>
      <rPr>
        <sz val="9"/>
        <color rgb="FF666666"/>
        <rFont val="Arial"/>
        <family val="0"/>
        <charset val="1"/>
      </rPr>
      <t xml:space="preserve">4</t>
    </r>
    <r>
      <rPr>
        <sz val="9"/>
        <color rgb="FF666666"/>
        <rFont val="WenQuanYi Zen Hei"/>
        <family val="2"/>
      </rPr>
      <t xml:space="preserve">등급 </t>
    </r>
    <r>
      <rPr>
        <sz val="9"/>
        <color rgb="FF666666"/>
        <rFont val="Arial"/>
        <family val="0"/>
        <charset val="1"/>
      </rPr>
      <t xml:space="preserve">(</t>
    </r>
    <r>
      <rPr>
        <sz val="9"/>
        <color rgb="FF666666"/>
        <rFont val="WenQuanYi Zen Hei"/>
        <family val="2"/>
      </rPr>
      <t xml:space="preserve">절대평가</t>
    </r>
    <r>
      <rPr>
        <sz val="9"/>
        <color rgb="FF666666"/>
        <rFont val="Arial"/>
        <family val="0"/>
        <charset val="1"/>
      </rPr>
      <t xml:space="preserve">)</t>
    </r>
  </si>
  <si>
    <r>
      <rPr>
        <b val="true"/>
        <sz val="14"/>
        <rFont val="WenQuanYi Zen Hei"/>
        <family val="2"/>
      </rPr>
      <t xml:space="preserve">구성관 반 </t>
    </r>
    <r>
      <rPr>
        <b val="true"/>
        <sz val="14"/>
        <rFont val="Arial"/>
        <family val="0"/>
        <charset val="1"/>
      </rPr>
      <t xml:space="preserve">· </t>
    </r>
    <r>
      <rPr>
        <b val="true"/>
        <sz val="14"/>
        <rFont val="WenQuanYi Zen Hei"/>
        <family val="2"/>
      </rPr>
      <t xml:space="preserve">고</t>
    </r>
    <r>
      <rPr>
        <b val="true"/>
        <sz val="14"/>
        <rFont val="Arial"/>
        <family val="0"/>
        <charset val="1"/>
      </rPr>
      <t xml:space="preserve">2 </t>
    </r>
    <r>
      <rPr>
        <b val="true"/>
        <sz val="14"/>
        <rFont val="WenQuanYi Zen Hei"/>
        <family val="2"/>
      </rPr>
      <t xml:space="preserve">모의고사 총점 변화</t>
    </r>
  </si>
  <si>
    <r>
      <rPr>
        <sz val="11"/>
        <rFont val="WenQuanYi Zen Hei"/>
        <family val="2"/>
      </rPr>
      <t xml:space="preserve">■ 시험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회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2 3</t>
    </r>
    <r>
      <rPr>
        <sz val="11"/>
        <rFont val="WenQuanYi Zen Hei"/>
        <family val="2"/>
      </rPr>
      <t xml:space="preserve">차 </t>
    </r>
    <r>
      <rPr>
        <sz val="11"/>
        <rFont val="Arial"/>
        <family val="0"/>
        <charset val="1"/>
      </rPr>
      <t xml:space="preserve">(2024) </t>
    </r>
    <r>
      <rPr>
        <sz val="11"/>
        <rFont val="WenQuanYi Zen Hei"/>
        <family val="2"/>
      </rPr>
      <t xml:space="preserve">고</t>
    </r>
    <r>
      <rPr>
        <sz val="11"/>
        <rFont val="Arial"/>
        <family val="0"/>
        <charset val="1"/>
      </rPr>
      <t xml:space="preserve">2, 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2 4</t>
    </r>
    <r>
      <rPr>
        <sz val="11"/>
        <rFont val="WenQuanYi Zen Hei"/>
        <family val="2"/>
      </rPr>
      <t xml:space="preserve">차 </t>
    </r>
    <r>
      <rPr>
        <sz val="11"/>
        <rFont val="Arial"/>
        <family val="0"/>
        <charset val="1"/>
      </rPr>
      <t xml:space="preserve">(2024) </t>
    </r>
    <r>
      <rPr>
        <sz val="11"/>
        <rFont val="WenQuanYi Zen Hei"/>
        <family val="2"/>
      </rPr>
      <t xml:space="preserve">고</t>
    </r>
    <r>
      <rPr>
        <sz val="11"/>
        <rFont val="Arial"/>
        <family val="0"/>
        <charset val="1"/>
      </rPr>
      <t xml:space="preserve">2, 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3 1</t>
    </r>
    <r>
      <rPr>
        <sz val="11"/>
        <rFont val="WenQuanYi Zen Hei"/>
        <family val="2"/>
      </rPr>
      <t xml:space="preserve">차 </t>
    </r>
    <r>
      <rPr>
        <sz val="11"/>
        <rFont val="Arial"/>
        <family val="0"/>
        <charset val="1"/>
      </rPr>
      <t xml:space="preserve">(2025) </t>
    </r>
    <r>
      <rPr>
        <sz val="11"/>
        <rFont val="WenQuanYi Zen Hei"/>
        <family val="2"/>
      </rPr>
      <t xml:space="preserve">고</t>
    </r>
    <r>
      <rPr>
        <sz val="11"/>
        <rFont val="Arial"/>
        <family val="0"/>
        <charset val="1"/>
      </rPr>
      <t xml:space="preserve">2, 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3 2</t>
    </r>
    <r>
      <rPr>
        <sz val="11"/>
        <rFont val="WenQuanYi Zen Hei"/>
        <family val="2"/>
      </rPr>
      <t xml:space="preserve">차 </t>
    </r>
    <r>
      <rPr>
        <sz val="11"/>
        <rFont val="Arial"/>
        <family val="0"/>
        <charset val="1"/>
      </rPr>
      <t xml:space="preserve">(2025) </t>
    </r>
    <r>
      <rPr>
        <sz val="11"/>
        <rFont val="WenQuanYi Zen Hei"/>
        <family val="2"/>
      </rPr>
      <t xml:space="preserve">고</t>
    </r>
    <r>
      <rPr>
        <sz val="11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</si>
  <si>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■ 반 평균 총점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첫 시험 </t>
    </r>
    <r>
      <rPr>
        <sz val="11"/>
        <rFont val="Arial"/>
        <family val="0"/>
        <charset val="1"/>
      </rPr>
      <t xml:space="preserve">86.0</t>
    </r>
    <r>
      <rPr>
        <sz val="11"/>
        <rFont val="WenQuanYi Zen Hei"/>
        <family val="2"/>
      </rPr>
      <t xml:space="preserve">점 → 마지막 시험 </t>
    </r>
    <r>
      <rPr>
        <sz val="11"/>
        <rFont val="Arial"/>
        <family val="0"/>
        <charset val="1"/>
      </rPr>
      <t xml:space="preserve">86.5</t>
    </r>
    <r>
      <rPr>
        <sz val="11"/>
        <rFont val="WenQuanYi Zen Hei"/>
        <family val="2"/>
      </rPr>
      <t xml:space="preserve">점 </t>
    </r>
    <r>
      <rPr>
        <sz val="11"/>
        <rFont val="Arial"/>
        <family val="0"/>
        <charset val="1"/>
      </rPr>
      <t xml:space="preserve">(+0.5</t>
    </r>
    <r>
      <rPr>
        <sz val="11"/>
        <rFont val="WenQuanYi Zen Hei"/>
        <family val="2"/>
      </rPr>
      <t xml:space="preserve">점</t>
    </r>
    <r>
      <rPr>
        <sz val="11"/>
        <rFont val="Arial"/>
        <family val="0"/>
        <charset val="1"/>
      </rPr>
      <t xml:space="preserve">)</t>
    </r>
  </si>
  <si>
    <r>
      <rPr>
        <sz val="11"/>
        <rFont val="WenQuanYi Zen Hei"/>
        <family val="2"/>
      </rPr>
      <t xml:space="preserve">■ 등급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첫 시험 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등급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명</t>
    </r>
    <r>
      <rPr>
        <sz val="11"/>
        <rFont val="Arial"/>
        <family val="0"/>
        <charset val="1"/>
      </rPr>
      <t xml:space="preserve">, 2</t>
    </r>
    <r>
      <rPr>
        <sz val="11"/>
        <rFont val="WenQuanYi Zen Hei"/>
        <family val="2"/>
      </rPr>
      <t xml:space="preserve">등급 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명</t>
    </r>
    <r>
      <rPr>
        <sz val="11"/>
        <rFont val="Arial"/>
        <family val="0"/>
        <charset val="1"/>
      </rPr>
      <t xml:space="preserve">, 4</t>
    </r>
    <r>
      <rPr>
        <sz val="11"/>
        <rFont val="WenQuanYi Zen Hei"/>
        <family val="2"/>
      </rPr>
      <t xml:space="preserve">등급 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명 → 마지막 시험 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등급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명</t>
    </r>
    <r>
      <rPr>
        <sz val="11"/>
        <rFont val="Arial"/>
        <family val="0"/>
        <charset val="1"/>
      </rPr>
      <t xml:space="preserve">, 2</t>
    </r>
    <r>
      <rPr>
        <sz val="11"/>
        <rFont val="WenQuanYi Zen Hei"/>
        <family val="2"/>
      </rPr>
      <t xml:space="preserve">등급 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명</t>
    </r>
    <r>
      <rPr>
        <sz val="11"/>
        <rFont val="Arial"/>
        <family val="0"/>
        <charset val="1"/>
      </rPr>
      <t xml:space="preserve">, 3</t>
    </r>
    <r>
      <rPr>
        <sz val="11"/>
        <rFont val="WenQuanYi Zen Hei"/>
        <family val="2"/>
      </rPr>
      <t xml:space="preserve">등급 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명</t>
    </r>
  </si>
  <si>
    <r>
      <rPr>
        <sz val="11"/>
        <rFont val="WenQuanYi Zen Hei"/>
        <family val="2"/>
      </rPr>
      <t xml:space="preserve">■ 가장 많이 오른 학생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박주연 </t>
    </r>
    <r>
      <rPr>
        <sz val="11"/>
        <rFont val="Arial"/>
        <family val="0"/>
        <charset val="1"/>
      </rPr>
      <t xml:space="preserve">69</t>
    </r>
    <r>
      <rPr>
        <sz val="11"/>
        <rFont val="WenQuanYi Zen Hei"/>
        <family val="2"/>
      </rPr>
      <t xml:space="preserve">점 → </t>
    </r>
    <r>
      <rPr>
        <sz val="11"/>
        <rFont val="Arial"/>
        <family val="0"/>
        <charset val="1"/>
      </rPr>
      <t xml:space="preserve">85</t>
    </r>
    <r>
      <rPr>
        <sz val="11"/>
        <rFont val="WenQuanYi Zen Hei"/>
        <family val="2"/>
      </rPr>
      <t xml:space="preserve">점 </t>
    </r>
    <r>
      <rPr>
        <sz val="11"/>
        <rFont val="Arial"/>
        <family val="0"/>
        <charset val="1"/>
      </rPr>
      <t xml:space="preserve">(+16</t>
    </r>
    <r>
      <rPr>
        <sz val="11"/>
        <rFont val="WenQuanYi Zen Hei"/>
        <family val="2"/>
      </rPr>
      <t xml:space="preserve">점</t>
    </r>
    <r>
      <rPr>
        <sz val="11"/>
        <rFont val="Arial"/>
        <family val="0"/>
        <charset val="1"/>
      </rPr>
      <t xml:space="preserve">)</t>
    </r>
  </si>
  <si>
    <r>
      <rPr>
        <sz val="11"/>
        <rFont val="WenQuanYi Zen Hei"/>
        <family val="2"/>
      </rPr>
      <t xml:space="preserve">■ 고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모의고사로 바뀐 첫 시험부터 반 평균 </t>
    </r>
    <r>
      <rPr>
        <sz val="11"/>
        <rFont val="Arial"/>
        <family val="0"/>
        <charset val="1"/>
      </rPr>
      <t xml:space="preserve">86</t>
    </r>
    <r>
      <rPr>
        <sz val="11"/>
        <rFont val="WenQuanYi Zen Hei"/>
        <family val="2"/>
      </rPr>
      <t xml:space="preserve">점</t>
    </r>
    <r>
      <rPr>
        <sz val="11"/>
        <rFont val="Arial"/>
        <family val="0"/>
        <charset val="1"/>
      </rPr>
      <t xml:space="preserve">(2</t>
    </r>
    <r>
      <rPr>
        <sz val="11"/>
        <rFont val="WenQuanYi Zen Hei"/>
        <family val="2"/>
      </rPr>
      <t xml:space="preserve">등급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이었고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3 1</t>
    </r>
    <r>
      <rPr>
        <sz val="11"/>
        <rFont val="WenQuanYi Zen Hei"/>
        <family val="2"/>
      </rPr>
      <t xml:space="preserve">차에는 </t>
    </r>
    <r>
      <rPr>
        <sz val="11"/>
        <rFont val="Arial"/>
        <family val="0"/>
        <charset val="1"/>
      </rPr>
      <t xml:space="preserve">92</t>
    </r>
    <r>
      <rPr>
        <sz val="11"/>
        <rFont val="WenQuanYi Zen Hei"/>
        <family val="2"/>
      </rPr>
      <t xml:space="preserve">점으로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명 모두 </t>
    </r>
    <r>
      <rPr>
        <sz val="11"/>
        <rFont val="Arial"/>
        <family val="0"/>
        <charset val="1"/>
      </rPr>
      <t xml:space="preserve">1~2</t>
    </r>
    <r>
      <rPr>
        <sz val="11"/>
        <rFont val="WenQuanYi Zen Hei"/>
        <family val="2"/>
      </rPr>
      <t xml:space="preserve">등급이었습니다</t>
    </r>
    <r>
      <rPr>
        <sz val="11"/>
        <rFont val="Arial"/>
        <family val="0"/>
        <charset val="1"/>
      </rPr>
      <t xml:space="preserve">.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</si>
  <si>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2 3</t>
    </r>
    <r>
      <rPr>
        <b val="true"/>
        <sz val="11"/>
        <rFont val="WenQuanYi Zen Hei"/>
        <family val="2"/>
      </rPr>
      <t xml:space="preserve">차 </t>
    </r>
    <r>
      <rPr>
        <b val="true"/>
        <sz val="11"/>
        <rFont val="Arial"/>
        <family val="0"/>
        <charset val="1"/>
      </rPr>
      <t xml:space="preserve">(2024)
</t>
    </r>
    <r>
      <rPr>
        <b val="true"/>
        <sz val="11"/>
        <rFont val="WenQuanYi Zen Hei"/>
        <family val="2"/>
      </rPr>
      <t xml:space="preserve">고</t>
    </r>
    <r>
      <rPr>
        <b val="true"/>
        <sz val="11"/>
        <rFont val="Arial"/>
        <family val="0"/>
        <charset val="1"/>
      </rPr>
      <t xml:space="preserve">2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</si>
  <si>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2 4</t>
    </r>
    <r>
      <rPr>
        <b val="true"/>
        <sz val="11"/>
        <rFont val="WenQuanYi Zen Hei"/>
        <family val="2"/>
      </rPr>
      <t xml:space="preserve">차 </t>
    </r>
    <r>
      <rPr>
        <b val="true"/>
        <sz val="11"/>
        <rFont val="Arial"/>
        <family val="0"/>
        <charset val="1"/>
      </rPr>
      <t xml:space="preserve">(2024)
</t>
    </r>
    <r>
      <rPr>
        <b val="true"/>
        <sz val="11"/>
        <rFont val="WenQuanYi Zen Hei"/>
        <family val="2"/>
      </rPr>
      <t xml:space="preserve">고</t>
    </r>
    <r>
      <rPr>
        <b val="true"/>
        <sz val="11"/>
        <rFont val="Arial"/>
        <family val="0"/>
        <charset val="1"/>
      </rPr>
      <t xml:space="preserve">2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</si>
  <si>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3 1</t>
    </r>
    <r>
      <rPr>
        <b val="true"/>
        <sz val="11"/>
        <rFont val="WenQuanYi Zen Hei"/>
        <family val="2"/>
      </rPr>
      <t xml:space="preserve">차 </t>
    </r>
    <r>
      <rPr>
        <b val="true"/>
        <sz val="11"/>
        <rFont val="Arial"/>
        <family val="0"/>
        <charset val="1"/>
      </rPr>
      <t xml:space="preserve">(2025)
</t>
    </r>
    <r>
      <rPr>
        <b val="true"/>
        <sz val="11"/>
        <rFont val="WenQuanYi Zen Hei"/>
        <family val="2"/>
      </rPr>
      <t xml:space="preserve">고</t>
    </r>
    <r>
      <rPr>
        <b val="true"/>
        <sz val="11"/>
        <rFont val="Arial"/>
        <family val="0"/>
        <charset val="1"/>
      </rPr>
      <t xml:space="preserve">2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</si>
  <si>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3 2</t>
    </r>
    <r>
      <rPr>
        <b val="true"/>
        <sz val="11"/>
        <rFont val="WenQuanYi Zen Hei"/>
        <family val="2"/>
      </rPr>
      <t xml:space="preserve">차 </t>
    </r>
    <r>
      <rPr>
        <b val="true"/>
        <sz val="11"/>
        <rFont val="Arial"/>
        <family val="0"/>
        <charset val="1"/>
      </rPr>
      <t xml:space="preserve">(2025)
</t>
    </r>
    <r>
      <rPr>
        <b val="true"/>
        <sz val="11"/>
        <rFont val="WenQuanYi Zen Hei"/>
        <family val="2"/>
      </rPr>
      <t xml:space="preserve">고</t>
    </r>
    <r>
      <rPr>
        <b val="true"/>
        <sz val="11"/>
        <rFont val="Arial"/>
        <family val="0"/>
        <charset val="1"/>
      </rPr>
      <t xml:space="preserve">2</t>
    </r>
  </si>
  <si>
    <r>
      <rPr>
        <b val="true"/>
        <sz val="14"/>
        <rFont val="WenQuanYi Zen Hei"/>
        <family val="2"/>
      </rPr>
      <t xml:space="preserve">구성관 반 </t>
    </r>
    <r>
      <rPr>
        <b val="true"/>
        <sz val="14"/>
        <rFont val="Arial"/>
        <family val="0"/>
        <charset val="1"/>
      </rPr>
      <t xml:space="preserve">· </t>
    </r>
    <r>
      <rPr>
        <b val="true"/>
        <sz val="14"/>
        <rFont val="WenQuanYi Zen Hei"/>
        <family val="2"/>
      </rPr>
      <t xml:space="preserve">고</t>
    </r>
    <r>
      <rPr>
        <b val="true"/>
        <sz val="14"/>
        <rFont val="Arial"/>
        <family val="0"/>
        <charset val="1"/>
      </rPr>
      <t xml:space="preserve">3 </t>
    </r>
    <r>
      <rPr>
        <b val="true"/>
        <sz val="14"/>
        <rFont val="WenQuanYi Zen Hei"/>
        <family val="2"/>
      </rPr>
      <t xml:space="preserve">모의고사</t>
    </r>
    <r>
      <rPr>
        <b val="true"/>
        <sz val="14"/>
        <rFont val="Arial"/>
        <family val="0"/>
        <charset val="1"/>
      </rPr>
      <t xml:space="preserve">+</t>
    </r>
    <r>
      <rPr>
        <b val="true"/>
        <sz val="14"/>
        <rFont val="WenQuanYi Zen Hei"/>
        <family val="2"/>
      </rPr>
      <t xml:space="preserve">수능 총점 변화</t>
    </r>
  </si>
  <si>
    <r>
      <rPr>
        <sz val="11"/>
        <rFont val="WenQuanYi Zen Hei"/>
        <family val="2"/>
      </rPr>
      <t xml:space="preserve">■ 시험 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회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3 3</t>
    </r>
    <r>
      <rPr>
        <sz val="11"/>
        <rFont val="WenQuanYi Zen Hei"/>
        <family val="2"/>
      </rPr>
      <t xml:space="preserve">차 </t>
    </r>
    <r>
      <rPr>
        <sz val="11"/>
        <rFont val="Arial"/>
        <family val="0"/>
        <charset val="1"/>
      </rPr>
      <t xml:space="preserve">(2025) </t>
    </r>
    <r>
      <rPr>
        <sz val="11"/>
        <rFont val="WenQuanYi Zen Hei"/>
        <family val="2"/>
      </rPr>
      <t xml:space="preserve">고</t>
    </r>
    <r>
      <rPr>
        <sz val="11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</si>
  <si>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■ 반 평균 총점 </t>
    </r>
    <r>
      <rPr>
        <sz val="11"/>
        <rFont val="Arial"/>
        <family val="0"/>
        <charset val="1"/>
      </rPr>
      <t xml:space="preserve">92.3</t>
    </r>
    <r>
      <rPr>
        <sz val="11"/>
        <rFont val="WenQuanYi Zen Hei"/>
        <family val="2"/>
      </rPr>
      <t xml:space="preserve">점 </t>
    </r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등급</t>
    </r>
    <r>
      <rPr>
        <sz val="11"/>
        <rFont val="Arial"/>
        <family val="0"/>
        <charset val="1"/>
      </rPr>
      <t xml:space="preserve">: 1</t>
    </r>
    <r>
      <rPr>
        <sz val="11"/>
        <rFont val="WenQuanYi Zen Hei"/>
        <family val="2"/>
      </rPr>
      <t xml:space="preserve">등급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명</t>
    </r>
    <r>
      <rPr>
        <sz val="11"/>
        <rFont val="Arial"/>
        <family val="0"/>
        <charset val="1"/>
      </rPr>
      <t xml:space="preserve">, 2</t>
    </r>
    <r>
      <rPr>
        <sz val="11"/>
        <rFont val="WenQuanYi Zen Hei"/>
        <family val="2"/>
      </rPr>
      <t xml:space="preserve">등급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명</t>
    </r>
  </si>
  <si>
    <r>
      <rPr>
        <sz val="11"/>
        <rFont val="WenQuanYi Zen Hei"/>
        <family val="2"/>
      </rPr>
      <t xml:space="preserve">■ 고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모의고사는 중</t>
    </r>
    <r>
      <rPr>
        <sz val="11"/>
        <rFont val="Arial"/>
        <family val="0"/>
        <charset val="1"/>
      </rPr>
      <t xml:space="preserve">3 3</t>
    </r>
    <r>
      <rPr>
        <sz val="11"/>
        <rFont val="WenQuanYi Zen Hei"/>
        <family val="2"/>
      </rPr>
      <t xml:space="preserve">차 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회입니다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구성관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송지효 </t>
    </r>
    <r>
      <rPr>
        <sz val="11"/>
        <rFont val="Arial"/>
        <family val="0"/>
        <charset val="1"/>
      </rPr>
      <t xml:space="preserve">100</t>
    </r>
    <r>
      <rPr>
        <sz val="11"/>
        <rFont val="WenQuanYi Zen Hei"/>
        <family val="2"/>
      </rPr>
      <t xml:space="preserve">점 만점</t>
    </r>
    <r>
      <rPr>
        <sz val="11"/>
        <rFont val="Arial"/>
        <family val="0"/>
        <charset val="1"/>
      </rPr>
      <t xml:space="preserve">(1</t>
    </r>
    <r>
      <rPr>
        <sz val="11"/>
        <rFont val="WenQuanYi Zen Hei"/>
        <family val="2"/>
      </rPr>
      <t xml:space="preserve">등급</t>
    </r>
    <r>
      <rPr>
        <sz val="11"/>
        <rFont val="Arial"/>
        <family val="0"/>
        <charset val="1"/>
      </rPr>
      <t xml:space="preserve">), </t>
    </r>
    <r>
      <rPr>
        <sz val="11"/>
        <rFont val="WenQuanYi Zen Hei"/>
        <family val="2"/>
      </rPr>
      <t xml:space="preserve">신준섭 </t>
    </r>
    <r>
      <rPr>
        <sz val="11"/>
        <rFont val="Arial"/>
        <family val="0"/>
        <charset val="1"/>
      </rPr>
      <t xml:space="preserve">87</t>
    </r>
    <r>
      <rPr>
        <sz val="11"/>
        <rFont val="WenQuanYi Zen Hei"/>
        <family val="2"/>
      </rPr>
      <t xml:space="preserve">점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박주연 </t>
    </r>
    <r>
      <rPr>
        <sz val="11"/>
        <rFont val="Arial"/>
        <family val="0"/>
        <charset val="1"/>
      </rPr>
      <t xml:space="preserve">82</t>
    </r>
    <r>
      <rPr>
        <sz val="11"/>
        <rFont val="WenQuanYi Zen Hei"/>
        <family val="2"/>
      </rPr>
      <t xml:space="preserve">점</t>
    </r>
    <r>
      <rPr>
        <sz val="11"/>
        <rFont val="Arial"/>
        <family val="0"/>
        <charset val="1"/>
      </rPr>
      <t xml:space="preserve">(2</t>
    </r>
    <r>
      <rPr>
        <sz val="11"/>
        <rFont val="WenQuanYi Zen Hei"/>
        <family val="2"/>
      </rPr>
      <t xml:space="preserve">등급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으로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명 모두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등급 이상입니다</t>
    </r>
    <r>
      <rPr>
        <sz val="11"/>
        <rFont val="Arial"/>
        <family val="0"/>
        <charset val="1"/>
      </rPr>
      <t xml:space="preserve">. 4</t>
    </r>
    <r>
      <rPr>
        <sz val="11"/>
        <rFont val="WenQuanYi Zen Hei"/>
        <family val="2"/>
      </rPr>
      <t xml:space="preserve">차 고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모의고사는 성적표에 아직 기록이 없습니다</t>
    </r>
    <r>
      <rPr>
        <sz val="11"/>
        <rFont val="Arial"/>
        <family val="0"/>
        <charset val="1"/>
      </rPr>
      <t xml:space="preserve">.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</si>
  <si>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3 3</t>
    </r>
    <r>
      <rPr>
        <b val="true"/>
        <sz val="11"/>
        <rFont val="WenQuanYi Zen Hei"/>
        <family val="2"/>
      </rPr>
      <t xml:space="preserve">차 </t>
    </r>
    <r>
      <rPr>
        <b val="true"/>
        <sz val="11"/>
        <rFont val="Arial"/>
        <family val="0"/>
        <charset val="1"/>
      </rPr>
      <t xml:space="preserve">(2025)
</t>
    </r>
    <r>
      <rPr>
        <b val="true"/>
        <sz val="11"/>
        <rFont val="WenQuanYi Zen Hei"/>
        <family val="2"/>
      </rPr>
      <t xml:space="preserve">고</t>
    </r>
    <r>
      <rPr>
        <b val="true"/>
        <sz val="11"/>
        <rFont val="Arial"/>
        <family val="0"/>
        <charset val="1"/>
      </rPr>
      <t xml:space="preserve">3</t>
    </r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</si>
</sst>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"/>
    <numFmt numFmtId="166" formatCode="0.0"/>
    <numFmt numFmtId="167" formatCode="\+0.0;\-0.0;0.0"/>
    <numFmt numFmtId="168" formatCode="General"/>
    <numFmt numFmtId="169" formatCode="\+0;\-0;0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WenQuanYi Zen Hei"/>
      <family val="2"/>
    </font>
    <font>
      <b val="true"/>
      <sz val="14"/>
      <name val="Arial"/>
      <family val="0"/>
      <charset val="1"/>
    </font>
    <font>
      <sz val="11"/>
      <name val="WenQuanYi Zen Hei"/>
      <family val="2"/>
    </font>
    <font>
      <sz val="11"/>
      <name val="Arial"/>
      <family val="0"/>
      <charset val="1"/>
    </font>
    <font>
      <b val="true"/>
      <sz val="11"/>
      <name val="WenQuanYi Zen Hei"/>
      <family val="2"/>
    </font>
    <font>
      <b val="true"/>
      <sz val="11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1"/>
      <color rgb="FF008000"/>
      <name val="Arial"/>
      <family val="0"/>
      <charset val="1"/>
    </font>
    <font>
      <sz val="9"/>
      <color rgb="FF666666"/>
      <name val="WenQuanYi Zen Hei"/>
      <family val="2"/>
    </font>
    <font>
      <sz val="9"/>
      <color rgb="FF666666"/>
      <name val="Arial"/>
      <family val="0"/>
      <charset val="1"/>
    </font>
    <font>
      <b val="true"/>
      <sz val="18"/>
      <color rgb="FF000000"/>
      <name val="WenQuanYi Zen Hei"/>
      <family val="2"/>
    </font>
    <font>
      <sz val="10"/>
      <color rgb="FF000000"/>
      <name val="Calibri"/>
      <family val="2"/>
    </font>
    <font>
      <sz val="11"/>
      <color rgb="FF0000FF"/>
      <name val="Arial"/>
      <family val="0"/>
      <charset val="1"/>
    </font>
    <font>
      <b val="true"/>
      <sz val="18"/>
      <color rgb="FF000000"/>
      <name val="Calibri"/>
      <family val="2"/>
    </font>
    <font>
      <b val="true"/>
      <sz val="10"/>
      <color rgb="FF000000"/>
      <name val="WenQuanYi Zen Hei"/>
      <family val="2"/>
    </font>
  </fonts>
  <fills count="4">
    <fill>
      <patternFill patternType="none"/>
    </fill>
    <fill>
      <patternFill patternType="gray125"/>
    </fill>
    <fill>
      <patternFill patternType="solid">
        <fgColor rgb="FFDDE7E4"/>
        <bgColor rgb="FFD9D9D9"/>
      </patternFill>
    </fill>
    <fill>
      <patternFill patternType="solid">
        <fgColor rgb="FFFFF2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666666"/>
      <rgbColor rgb="FF800080"/>
      <rgbColor rgb="FF1E7A72"/>
      <rgbColor rgb="FFBFBFBF"/>
      <rgbColor rgb="FF878787"/>
      <rgbColor rgb="FF9999FF"/>
      <rgbColor rgb="FFBE4B48"/>
      <rgbColor rgb="FFFFF2CC"/>
      <rgbColor rgb="FFCCFFFF"/>
      <rgbColor rgb="FF660066"/>
      <rgbColor rgb="FFFF8080"/>
      <rgbColor rgb="FF0066CC"/>
      <rgbColor rgb="FFC9D6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7E4"/>
      <rgbColor rgb="FFFFFF99"/>
      <rgbColor rgb="FF8FBFB8"/>
      <rgbColor rgb="FFFF99CC"/>
      <rgbColor rgb="FFCC99FF"/>
      <rgbColor rgb="FFD9D9D9"/>
      <rgbColor rgb="FF4A7EBB"/>
      <rgbColor rgb="FF33CCCC"/>
      <rgbColor rgb="FF98B855"/>
      <rgbColor rgb="FFFFCC00"/>
      <rgbColor rgb="FFFF9900"/>
      <rgbColor rgb="FFFF6600"/>
      <rgbColor rgb="FF7D5FA0"/>
      <rgbColor rgb="FFA6B8B4"/>
      <rgbColor rgb="FF003366"/>
      <rgbColor rgb="FF3E9A90"/>
      <rgbColor rgb="FF003300"/>
      <rgbColor rgb="FF333300"/>
      <rgbColor rgb="FF993300"/>
      <rgbColor rgb="FF993366"/>
      <rgbColor rgb="FF333399"/>
      <rgbColor rgb="FF17403D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시험 수준별 반 평균 총점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1e7a72"/>
            </a:solidFill>
            <a:ln w="0">
              <a:noFill/>
            </a:ln>
          </c:spPr>
          <c:invertIfNegative val="0"/>
          <c:dLbls>
            <c:numFmt formatCode="0.0" sourceLinked="1"/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'총점 성장 요약'!$B$8:$E$8</c:f>
              <c:strCache>
                <c:ptCount val="4"/>
                <c:pt idx="0">
                  <c:v>중1 첫 시험</c:v>
                </c:pt>
                <c:pt idx="1">
                  <c:v>고1 모의고사
평균</c:v>
                </c:pt>
                <c:pt idx="2">
                  <c:v>고2 모의고사
평균</c:v>
                </c:pt>
                <c:pt idx="3">
                  <c:v>고3 모의고사+수능
평균</c:v>
                </c:pt>
              </c:strCache>
            </c:strRef>
          </c:cat>
          <c:val>
            <c:numRef>
              <c:f>'총점 성장 요약'!$B$13:$E$13</c:f>
              <c:numCache>
                <c:formatCode>0.0</c:formatCode>
                <c:ptCount val="4"/>
                <c:pt idx="0">
                  <c:v>67</c:v>
                </c:pt>
                <c:pt idx="1">
                  <c:v>80.3571428571429</c:v>
                </c:pt>
                <c:pt idx="2">
                  <c:v>86.8125</c:v>
                </c:pt>
                <c:pt idx="3">
                  <c:v>92.25</c:v>
                </c:pt>
              </c:numCache>
            </c:numRef>
          </c:val>
        </c:ser>
        <c:gapWidth val="150"/>
        <c:overlap val="0"/>
        <c:axId val="40489550"/>
        <c:axId val="51854719"/>
      </c:barChart>
      <c:catAx>
        <c:axId val="4048955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1854719"/>
        <c:crosses val="autoZero"/>
        <c:auto val="1"/>
        <c:lblAlgn val="ctr"/>
        <c:lblOffset val="100"/>
        <c:noMultiLvlLbl val="0"/>
      </c:catAx>
      <c:valAx>
        <c:axId val="51854719"/>
        <c:scaling>
          <c:orientation val="minMax"/>
          <c:max val="10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048955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학생별 시험 수준 평균 총점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'총점 성장 요약'!B8</c:f>
              <c:strCache>
                <c:ptCount val="1"/>
                <c:pt idx="0">
                  <c:v>중1 첫 시험</c:v>
                </c:pt>
              </c:strCache>
            </c:strRef>
          </c:tx>
          <c:spPr>
            <a:solidFill>
              <a:srgbClr val="c9d6d2"/>
            </a:solidFill>
            <a:ln w="0">
              <a:noFill/>
            </a:ln>
          </c:spPr>
          <c:invertIfNegative val="0"/>
          <c:dLbls>
            <c:numFmt formatCode="0" sourceLinked="1"/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'총점 성장 요약'!$A$9:$A$12</c:f>
              <c:strCache>
                <c:ptCount val="4"/>
                <c:pt idx="0">
                  <c:v>구성관</c:v>
                </c:pt>
                <c:pt idx="1">
                  <c:v>송지효</c:v>
                </c:pt>
                <c:pt idx="2">
                  <c:v>신준섭</c:v>
                </c:pt>
                <c:pt idx="3">
                  <c:v>박주연</c:v>
                </c:pt>
              </c:strCache>
            </c:strRef>
          </c:cat>
          <c:val>
            <c:numRef>
              <c:f>'총점 성장 요약'!$B$9:$B$12</c:f>
              <c:numCache>
                <c:formatCode>0</c:formatCode>
                <c:ptCount val="4"/>
                <c:pt idx="0">
                  <c:v>71</c:v>
                </c:pt>
                <c:pt idx="1">
                  <c:v>58</c:v>
                </c:pt>
                <c:pt idx="2">
                  <c:v>70</c:v>
                </c:pt>
                <c:pt idx="3">
                  <c:v>69</c:v>
                </c:pt>
              </c:numCache>
            </c:numRef>
          </c:val>
        </c:ser>
        <c:ser>
          <c:idx val="1"/>
          <c:order val="1"/>
          <c:tx>
            <c:strRef>
              <c:f>'총점 성장 요약'!C8</c:f>
              <c:strCache>
                <c:ptCount val="1"/>
                <c:pt idx="0">
                  <c:v>고1 모의고사
평균</c:v>
                </c:pt>
              </c:strCache>
            </c:strRef>
          </c:tx>
          <c:spPr>
            <a:solidFill>
              <a:srgbClr val="8fbfb8"/>
            </a:solidFill>
            <a:ln w="0">
              <a:noFill/>
            </a:ln>
          </c:spPr>
          <c:invertIfNegative val="0"/>
          <c:dLbls>
            <c:numFmt formatCode="0" sourceLinked="1"/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'총점 성장 요약'!$A$9:$A$12</c:f>
              <c:strCache>
                <c:ptCount val="4"/>
                <c:pt idx="0">
                  <c:v>구성관</c:v>
                </c:pt>
                <c:pt idx="1">
                  <c:v>송지효</c:v>
                </c:pt>
                <c:pt idx="2">
                  <c:v>신준섭</c:v>
                </c:pt>
                <c:pt idx="3">
                  <c:v>박주연</c:v>
                </c:pt>
              </c:strCache>
            </c:strRef>
          </c:cat>
          <c:val>
            <c:numRef>
              <c:f>'총점 성장 요약'!$C$9:$C$12</c:f>
              <c:numCache>
                <c:formatCode>0.0</c:formatCode>
                <c:ptCount val="4"/>
                <c:pt idx="0">
                  <c:v>82.1428571428571</c:v>
                </c:pt>
                <c:pt idx="1">
                  <c:v>85.7142857142857</c:v>
                </c:pt>
                <c:pt idx="2">
                  <c:v>76.1428571428571</c:v>
                </c:pt>
                <c:pt idx="3">
                  <c:v>77.4285714285714</c:v>
                </c:pt>
              </c:numCache>
            </c:numRef>
          </c:val>
        </c:ser>
        <c:ser>
          <c:idx val="2"/>
          <c:order val="2"/>
          <c:tx>
            <c:strRef>
              <c:f>'총점 성장 요약'!D8</c:f>
              <c:strCache>
                <c:ptCount val="1"/>
                <c:pt idx="0">
                  <c:v>고2 모의고사
평균</c:v>
                </c:pt>
              </c:strCache>
            </c:strRef>
          </c:tx>
          <c:spPr>
            <a:solidFill>
              <a:srgbClr val="3e9a90"/>
            </a:solidFill>
            <a:ln w="0">
              <a:noFill/>
            </a:ln>
          </c:spPr>
          <c:invertIfNegative val="0"/>
          <c:dLbls>
            <c:numFmt formatCode="0" sourceLinked="1"/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'총점 성장 요약'!$A$9:$A$12</c:f>
              <c:strCache>
                <c:ptCount val="4"/>
                <c:pt idx="0">
                  <c:v>구성관</c:v>
                </c:pt>
                <c:pt idx="1">
                  <c:v>송지효</c:v>
                </c:pt>
                <c:pt idx="2">
                  <c:v>신준섭</c:v>
                </c:pt>
                <c:pt idx="3">
                  <c:v>박주연</c:v>
                </c:pt>
              </c:strCache>
            </c:strRef>
          </c:cat>
          <c:val>
            <c:numRef>
              <c:f>'총점 성장 요약'!$D$9:$D$12</c:f>
              <c:numCache>
                <c:formatCode>0.0</c:formatCode>
                <c:ptCount val="4"/>
                <c:pt idx="0">
                  <c:v>94</c:v>
                </c:pt>
                <c:pt idx="1">
                  <c:v>91.5</c:v>
                </c:pt>
                <c:pt idx="2">
                  <c:v>83.5</c:v>
                </c:pt>
                <c:pt idx="3">
                  <c:v>78.25</c:v>
                </c:pt>
              </c:numCache>
            </c:numRef>
          </c:val>
        </c:ser>
        <c:ser>
          <c:idx val="3"/>
          <c:order val="3"/>
          <c:tx>
            <c:strRef>
              <c:f>'총점 성장 요약'!E8</c:f>
              <c:strCache>
                <c:ptCount val="1"/>
                <c:pt idx="0">
                  <c:v>고3 모의고사+수능
평균</c:v>
                </c:pt>
              </c:strCache>
            </c:strRef>
          </c:tx>
          <c:spPr>
            <a:solidFill>
              <a:srgbClr val="17403d"/>
            </a:solidFill>
            <a:ln w="0">
              <a:noFill/>
            </a:ln>
          </c:spPr>
          <c:invertIfNegative val="0"/>
          <c:dLbls>
            <c:numFmt formatCode="0" sourceLinked="1"/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'총점 성장 요약'!$A$9:$A$12</c:f>
              <c:strCache>
                <c:ptCount val="4"/>
                <c:pt idx="0">
                  <c:v>구성관</c:v>
                </c:pt>
                <c:pt idx="1">
                  <c:v>송지효</c:v>
                </c:pt>
                <c:pt idx="2">
                  <c:v>신준섭</c:v>
                </c:pt>
                <c:pt idx="3">
                  <c:v>박주연</c:v>
                </c:pt>
              </c:strCache>
            </c:strRef>
          </c:cat>
          <c:val>
            <c:numRef>
              <c:f>'총점 성장 요약'!$E$9:$E$12</c:f>
              <c:numCache>
                <c:formatCode>0.0</c:formatCode>
                <c:ptCount val="4"/>
                <c:pt idx="0">
                  <c:v>100</c:v>
                </c:pt>
                <c:pt idx="1">
                  <c:v>100</c:v>
                </c:pt>
                <c:pt idx="2">
                  <c:v>87</c:v>
                </c:pt>
                <c:pt idx="3">
                  <c:v>82</c:v>
                </c:pt>
              </c:numCache>
            </c:numRef>
          </c:val>
        </c:ser>
        <c:gapWidth val="150"/>
        <c:overlap val="0"/>
        <c:axId val="38058538"/>
        <c:axId val="8728869"/>
      </c:barChart>
      <c:catAx>
        <c:axId val="3805853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728869"/>
        <c:crosses val="autoZero"/>
        <c:auto val="1"/>
        <c:lblAlgn val="ctr"/>
        <c:lblOffset val="100"/>
        <c:noMultiLvlLbl val="0"/>
      </c:catAx>
      <c:valAx>
        <c:axId val="8728869"/>
        <c:scaling>
          <c:orientation val="minMax"/>
          <c:max val="100"/>
          <c:min val="5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805853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고1 모의고사 · 총점 (반 평균 = 굵은 선)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'고1 모의고사'!A9</c:f>
              <c:strCache>
                <c:ptCount val="1"/>
                <c:pt idx="0">
                  <c:v>구성관</c:v>
                </c:pt>
              </c:strCache>
            </c:strRef>
          </c:tx>
          <c:spPr>
            <a:solidFill>
              <a:srgbClr val="4a7ebb"/>
            </a:solidFill>
            <a:ln w="19080">
              <a:solidFill>
                <a:srgbClr val="4a7ebb"/>
              </a:solidFill>
              <a:round/>
            </a:ln>
          </c:spPr>
          <c:marker>
            <c:symbol val="circle"/>
            <c:size val="6"/>
            <c:spPr>
              <a:solidFill>
                <a:srgbClr val="4a7eb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'고1 모의고사'!$B$8:$H$8</c:f>
              <c:strCache>
                <c:ptCount val="7"/>
                <c:pt idx="0">
                  <c:v>중1 1차 (2023)
고1</c:v>
                </c:pt>
                <c:pt idx="1">
                  <c:v>중1 2차 (2023)
고1</c:v>
                </c:pt>
                <c:pt idx="2">
                  <c:v>중1 3차 (2023)
고1</c:v>
                </c:pt>
                <c:pt idx="3">
                  <c:v>중1 4차 (2023)
고1</c:v>
                </c:pt>
                <c:pt idx="4">
                  <c:v>중1 5차 (2023)
고1</c:v>
                </c:pt>
                <c:pt idx="5">
                  <c:v>중2 1차 (2024)
고1</c:v>
                </c:pt>
                <c:pt idx="6">
                  <c:v>중2 2차 (2024)
고1</c:v>
                </c:pt>
              </c:strCache>
            </c:strRef>
          </c:cat>
          <c:val>
            <c:numRef>
              <c:f>'고1 모의고사'!$B$9:$H$9</c:f>
              <c:numCache>
                <c:formatCode>General</c:formatCode>
                <c:ptCount val="7"/>
                <c:pt idx="0">
                  <c:v>71</c:v>
                </c:pt>
                <c:pt idx="1">
                  <c:v>72</c:v>
                </c:pt>
                <c:pt idx="2">
                  <c:v>73</c:v>
                </c:pt>
                <c:pt idx="3">
                  <c:v>83</c:v>
                </c:pt>
                <c:pt idx="4">
                  <c:v>83</c:v>
                </c:pt>
                <c:pt idx="5">
                  <c:v>96</c:v>
                </c:pt>
                <c:pt idx="6">
                  <c:v>97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'고1 모의고사'!A10</c:f>
              <c:strCache>
                <c:ptCount val="1"/>
                <c:pt idx="0">
                  <c:v>송지효</c:v>
                </c:pt>
              </c:strCache>
            </c:strRef>
          </c:tx>
          <c:spPr>
            <a:solidFill>
              <a:srgbClr val="be4b48"/>
            </a:solidFill>
            <a:ln w="19080">
              <a:solidFill>
                <a:srgbClr val="be4b48"/>
              </a:solidFill>
              <a:round/>
            </a:ln>
          </c:spPr>
          <c:marker>
            <c:symbol val="circle"/>
            <c:size val="6"/>
            <c:spPr>
              <a:solidFill>
                <a:srgbClr val="be4b48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'고1 모의고사'!$B$8:$H$8</c:f>
              <c:strCache>
                <c:ptCount val="7"/>
                <c:pt idx="0">
                  <c:v>중1 1차 (2023)
고1</c:v>
                </c:pt>
                <c:pt idx="1">
                  <c:v>중1 2차 (2023)
고1</c:v>
                </c:pt>
                <c:pt idx="2">
                  <c:v>중1 3차 (2023)
고1</c:v>
                </c:pt>
                <c:pt idx="3">
                  <c:v>중1 4차 (2023)
고1</c:v>
                </c:pt>
                <c:pt idx="4">
                  <c:v>중1 5차 (2023)
고1</c:v>
                </c:pt>
                <c:pt idx="5">
                  <c:v>중2 1차 (2024)
고1</c:v>
                </c:pt>
                <c:pt idx="6">
                  <c:v>중2 2차 (2024)
고1</c:v>
                </c:pt>
              </c:strCache>
            </c:strRef>
          </c:cat>
          <c:val>
            <c:numRef>
              <c:f>'고1 모의고사'!$B$10:$H$10</c:f>
              <c:numCache>
                <c:formatCode>General</c:formatCode>
                <c:ptCount val="7"/>
                <c:pt idx="0">
                  <c:v>58</c:v>
                </c:pt>
                <c:pt idx="1">
                  <c:v>81</c:v>
                </c:pt>
                <c:pt idx="2">
                  <c:v>81</c:v>
                </c:pt>
                <c:pt idx="3">
                  <c:v>92</c:v>
                </c:pt>
                <c:pt idx="4">
                  <c:v>94</c:v>
                </c:pt>
                <c:pt idx="5">
                  <c:v>100</c:v>
                </c:pt>
                <c:pt idx="6">
                  <c:v>94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'고1 모의고사'!A11</c:f>
              <c:strCache>
                <c:ptCount val="1"/>
                <c:pt idx="0">
                  <c:v>신준섭</c:v>
                </c:pt>
              </c:strCache>
            </c:strRef>
          </c:tx>
          <c:spPr>
            <a:solidFill>
              <a:srgbClr val="98b855"/>
            </a:solidFill>
            <a:ln w="19080">
              <a:solidFill>
                <a:srgbClr val="98b855"/>
              </a:solidFill>
              <a:round/>
            </a:ln>
          </c:spPr>
          <c:marker>
            <c:symbol val="circle"/>
            <c:size val="6"/>
            <c:spPr>
              <a:solidFill>
                <a:srgbClr val="98b855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'고1 모의고사'!$B$8:$H$8</c:f>
              <c:strCache>
                <c:ptCount val="7"/>
                <c:pt idx="0">
                  <c:v>중1 1차 (2023)
고1</c:v>
                </c:pt>
                <c:pt idx="1">
                  <c:v>중1 2차 (2023)
고1</c:v>
                </c:pt>
                <c:pt idx="2">
                  <c:v>중1 3차 (2023)
고1</c:v>
                </c:pt>
                <c:pt idx="3">
                  <c:v>중1 4차 (2023)
고1</c:v>
                </c:pt>
                <c:pt idx="4">
                  <c:v>중1 5차 (2023)
고1</c:v>
                </c:pt>
                <c:pt idx="5">
                  <c:v>중2 1차 (2024)
고1</c:v>
                </c:pt>
                <c:pt idx="6">
                  <c:v>중2 2차 (2024)
고1</c:v>
                </c:pt>
              </c:strCache>
            </c:strRef>
          </c:cat>
          <c:val>
            <c:numRef>
              <c:f>'고1 모의고사'!$B$11:$H$11</c:f>
              <c:numCache>
                <c:formatCode>General</c:formatCode>
                <c:ptCount val="7"/>
                <c:pt idx="0">
                  <c:v>70</c:v>
                </c:pt>
                <c:pt idx="1">
                  <c:v>74</c:v>
                </c:pt>
                <c:pt idx="2">
                  <c:v>70</c:v>
                </c:pt>
                <c:pt idx="3">
                  <c:v>75</c:v>
                </c:pt>
                <c:pt idx="4">
                  <c:v>75</c:v>
                </c:pt>
                <c:pt idx="5">
                  <c:v>90</c:v>
                </c:pt>
                <c:pt idx="6">
                  <c:v>79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'고1 모의고사'!A12</c:f>
              <c:strCache>
                <c:ptCount val="1"/>
                <c:pt idx="0">
                  <c:v>박주연</c:v>
                </c:pt>
              </c:strCache>
            </c:strRef>
          </c:tx>
          <c:spPr>
            <a:solidFill>
              <a:srgbClr val="7d5fa0"/>
            </a:solidFill>
            <a:ln w="19080">
              <a:solidFill>
                <a:srgbClr val="7d5fa0"/>
              </a:solidFill>
              <a:round/>
            </a:ln>
          </c:spPr>
          <c:marker>
            <c:symbol val="circle"/>
            <c:size val="6"/>
            <c:spPr>
              <a:solidFill>
                <a:srgbClr val="7d5fa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'고1 모의고사'!$B$8:$H$8</c:f>
              <c:strCache>
                <c:ptCount val="7"/>
                <c:pt idx="0">
                  <c:v>중1 1차 (2023)
고1</c:v>
                </c:pt>
                <c:pt idx="1">
                  <c:v>중1 2차 (2023)
고1</c:v>
                </c:pt>
                <c:pt idx="2">
                  <c:v>중1 3차 (2023)
고1</c:v>
                </c:pt>
                <c:pt idx="3">
                  <c:v>중1 4차 (2023)
고1</c:v>
                </c:pt>
                <c:pt idx="4">
                  <c:v>중1 5차 (2023)
고1</c:v>
                </c:pt>
                <c:pt idx="5">
                  <c:v>중2 1차 (2024)
고1</c:v>
                </c:pt>
                <c:pt idx="6">
                  <c:v>중2 2차 (2024)
고1</c:v>
                </c:pt>
              </c:strCache>
            </c:strRef>
          </c:cat>
          <c:val>
            <c:numRef>
              <c:f>'고1 모의고사'!$B$12:$H$12</c:f>
              <c:numCache>
                <c:formatCode>General</c:formatCode>
                <c:ptCount val="7"/>
                <c:pt idx="0">
                  <c:v>69</c:v>
                </c:pt>
                <c:pt idx="1">
                  <c:v>65</c:v>
                </c:pt>
                <c:pt idx="2">
                  <c:v>71</c:v>
                </c:pt>
                <c:pt idx="3">
                  <c:v>84</c:v>
                </c:pt>
                <c:pt idx="4">
                  <c:v>75</c:v>
                </c:pt>
                <c:pt idx="5">
                  <c:v>92</c:v>
                </c:pt>
                <c:pt idx="6">
                  <c:v>86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'고1 모의고사'!A13</c:f>
              <c:strCache>
                <c:ptCount val="1"/>
                <c:pt idx="0">
                  <c:v>반 평균</c:v>
                </c:pt>
              </c:strCache>
            </c:strRef>
          </c:tx>
          <c:spPr>
            <a:solidFill>
              <a:srgbClr val="000000"/>
            </a:solidFill>
            <a:ln w="57240">
              <a:solidFill>
                <a:srgbClr val="000000"/>
              </a:solidFill>
              <a:round/>
            </a:ln>
          </c:spPr>
          <c:marker>
            <c:symbol val="circle"/>
            <c:size val="9"/>
            <c:spPr>
              <a:solidFill>
                <a:srgbClr val="000000"/>
              </a:solidFill>
            </c:spPr>
          </c:marker>
          <c:dLbls>
            <c:numFmt formatCode="0.0" sourceLinked="1"/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t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'고1 모의고사'!$B$8:$H$8</c:f>
              <c:strCache>
                <c:ptCount val="7"/>
                <c:pt idx="0">
                  <c:v>중1 1차 (2023)
고1</c:v>
                </c:pt>
                <c:pt idx="1">
                  <c:v>중1 2차 (2023)
고1</c:v>
                </c:pt>
                <c:pt idx="2">
                  <c:v>중1 3차 (2023)
고1</c:v>
                </c:pt>
                <c:pt idx="3">
                  <c:v>중1 4차 (2023)
고1</c:v>
                </c:pt>
                <c:pt idx="4">
                  <c:v>중1 5차 (2023)
고1</c:v>
                </c:pt>
                <c:pt idx="5">
                  <c:v>중2 1차 (2024)
고1</c:v>
                </c:pt>
                <c:pt idx="6">
                  <c:v>중2 2차 (2024)
고1</c:v>
                </c:pt>
              </c:strCache>
            </c:strRef>
          </c:cat>
          <c:val>
            <c:numRef>
              <c:f>'고1 모의고사'!$B$13:$H$13</c:f>
              <c:numCache>
                <c:formatCode>0.0</c:formatCode>
                <c:ptCount val="7"/>
                <c:pt idx="0">
                  <c:v>67</c:v>
                </c:pt>
                <c:pt idx="1">
                  <c:v>73</c:v>
                </c:pt>
                <c:pt idx="2">
                  <c:v>73.75</c:v>
                </c:pt>
                <c:pt idx="3">
                  <c:v>83.5</c:v>
                </c:pt>
                <c:pt idx="4">
                  <c:v>81.75</c:v>
                </c:pt>
                <c:pt idx="5">
                  <c:v>94.5</c:v>
                </c:pt>
                <c:pt idx="6">
                  <c:v>89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91824569"/>
        <c:axId val="94356926"/>
      </c:lineChart>
      <c:catAx>
        <c:axId val="9182456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4356926"/>
        <c:crosses val="autoZero"/>
        <c:auto val="1"/>
        <c:lblAlgn val="ctr"/>
        <c:lblOffset val="100"/>
        <c:noMultiLvlLbl val="0"/>
      </c:catAx>
      <c:valAx>
        <c:axId val="94356926"/>
        <c:scaling>
          <c:orientation val="minMax"/>
          <c:max val="100"/>
          <c:min val="5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총점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1824569"/>
        <c:crosses val="autoZero"/>
        <c:crossBetween val="between"/>
        <c:majorUnit val="10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고1 모의고사 · 첫 시험 vs 마지막 시험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'고1 모의고사'!I8</c:f>
              <c:strCache>
                <c:ptCount val="1"/>
                <c:pt idx="0">
                  <c:v>첫 시험</c:v>
                </c:pt>
              </c:strCache>
            </c:strRef>
          </c:tx>
          <c:spPr>
            <a:solidFill>
              <a:srgbClr val="a6b8b4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'고1 모의고사'!$A$9:$A$13</c:f>
              <c:strCache>
                <c:ptCount val="5"/>
                <c:pt idx="0">
                  <c:v>구성관</c:v>
                </c:pt>
                <c:pt idx="1">
                  <c:v>송지효</c:v>
                </c:pt>
                <c:pt idx="2">
                  <c:v>신준섭</c:v>
                </c:pt>
                <c:pt idx="3">
                  <c:v>박주연</c:v>
                </c:pt>
                <c:pt idx="4">
                  <c:v>반 평균</c:v>
                </c:pt>
              </c:strCache>
            </c:strRef>
          </c:cat>
          <c:val>
            <c:numRef>
              <c:f>'고1 모의고사'!$I$9:$I$13</c:f>
              <c:numCache>
                <c:formatCode>General</c:formatCode>
                <c:ptCount val="5"/>
                <c:pt idx="0">
                  <c:v>71</c:v>
                </c:pt>
                <c:pt idx="1">
                  <c:v>58</c:v>
                </c:pt>
                <c:pt idx="2">
                  <c:v>70</c:v>
                </c:pt>
                <c:pt idx="3">
                  <c:v>69</c:v>
                </c:pt>
                <c:pt idx="4">
                  <c:v>67</c:v>
                </c:pt>
              </c:numCache>
            </c:numRef>
          </c:val>
        </c:ser>
        <c:ser>
          <c:idx val="1"/>
          <c:order val="1"/>
          <c:tx>
            <c:strRef>
              <c:f>'고1 모의고사'!J8</c:f>
              <c:strCache>
                <c:ptCount val="1"/>
                <c:pt idx="0">
                  <c:v>마지막 시험</c:v>
                </c:pt>
              </c:strCache>
            </c:strRef>
          </c:tx>
          <c:spPr>
            <a:solidFill>
              <a:srgbClr val="1e7a72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'고1 모의고사'!$A$9:$A$13</c:f>
              <c:strCache>
                <c:ptCount val="5"/>
                <c:pt idx="0">
                  <c:v>구성관</c:v>
                </c:pt>
                <c:pt idx="1">
                  <c:v>송지효</c:v>
                </c:pt>
                <c:pt idx="2">
                  <c:v>신준섭</c:v>
                </c:pt>
                <c:pt idx="3">
                  <c:v>박주연</c:v>
                </c:pt>
                <c:pt idx="4">
                  <c:v>반 평균</c:v>
                </c:pt>
              </c:strCache>
            </c:strRef>
          </c:cat>
          <c:val>
            <c:numRef>
              <c:f>'고1 모의고사'!$J$9:$J$13</c:f>
              <c:numCache>
                <c:formatCode>General</c:formatCode>
                <c:ptCount val="5"/>
                <c:pt idx="0">
                  <c:v>97</c:v>
                </c:pt>
                <c:pt idx="1">
                  <c:v>94</c:v>
                </c:pt>
                <c:pt idx="2">
                  <c:v>79</c:v>
                </c:pt>
                <c:pt idx="3">
                  <c:v>86</c:v>
                </c:pt>
                <c:pt idx="4">
                  <c:v>89</c:v>
                </c:pt>
              </c:numCache>
            </c:numRef>
          </c:val>
        </c:ser>
        <c:gapWidth val="150"/>
        <c:overlap val="0"/>
        <c:axId val="50580274"/>
        <c:axId val="89593125"/>
      </c:barChart>
      <c:catAx>
        <c:axId val="5058027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9593125"/>
        <c:crosses val="autoZero"/>
        <c:auto val="1"/>
        <c:lblAlgn val="ctr"/>
        <c:lblOffset val="100"/>
        <c:noMultiLvlLbl val="0"/>
      </c:catAx>
      <c:valAx>
        <c:axId val="89593125"/>
        <c:scaling>
          <c:orientation val="minMax"/>
          <c:max val="10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058027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고2 모의고사 · 총점 (반 평균 = 굵은 선)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'고2 모의고사'!A10</c:f>
              <c:strCache>
                <c:ptCount val="1"/>
                <c:pt idx="0">
                  <c:v>구성관</c:v>
                </c:pt>
              </c:strCache>
            </c:strRef>
          </c:tx>
          <c:spPr>
            <a:solidFill>
              <a:srgbClr val="4a7ebb"/>
            </a:solidFill>
            <a:ln w="19080">
              <a:solidFill>
                <a:srgbClr val="4a7ebb"/>
              </a:solidFill>
              <a:round/>
            </a:ln>
          </c:spPr>
          <c:marker>
            <c:symbol val="circle"/>
            <c:size val="6"/>
            <c:spPr>
              <a:solidFill>
                <a:srgbClr val="4a7eb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'고2 모의고사'!$B$9:$E$9</c:f>
              <c:strCache>
                <c:ptCount val="4"/>
                <c:pt idx="0">
                  <c:v>중2 3차 (2024)
고2</c:v>
                </c:pt>
                <c:pt idx="1">
                  <c:v>중2 4차 (2024)
고2</c:v>
                </c:pt>
                <c:pt idx="2">
                  <c:v>중3 1차 (2025)
고2</c:v>
                </c:pt>
                <c:pt idx="3">
                  <c:v>중3 2차 (2025)
고2</c:v>
                </c:pt>
              </c:strCache>
            </c:strRef>
          </c:cat>
          <c:val>
            <c:numRef>
              <c:f>'고2 모의고사'!$B$10:$E$10</c:f>
              <c:numCache>
                <c:formatCode>General</c:formatCode>
                <c:ptCount val="4"/>
                <c:pt idx="0">
                  <c:v>89</c:v>
                </c:pt>
                <c:pt idx="1">
                  <c:v>100</c:v>
                </c:pt>
                <c:pt idx="2">
                  <c:v>95</c:v>
                </c:pt>
                <c:pt idx="3">
                  <c:v>92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'고2 모의고사'!A11</c:f>
              <c:strCache>
                <c:ptCount val="1"/>
                <c:pt idx="0">
                  <c:v>송지효</c:v>
                </c:pt>
              </c:strCache>
            </c:strRef>
          </c:tx>
          <c:spPr>
            <a:solidFill>
              <a:srgbClr val="be4b48"/>
            </a:solidFill>
            <a:ln w="19080">
              <a:solidFill>
                <a:srgbClr val="be4b48"/>
              </a:solidFill>
              <a:round/>
            </a:ln>
          </c:spPr>
          <c:marker>
            <c:symbol val="circle"/>
            <c:size val="6"/>
            <c:spPr>
              <a:solidFill>
                <a:srgbClr val="be4b48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'고2 모의고사'!$B$9:$E$9</c:f>
              <c:strCache>
                <c:ptCount val="4"/>
                <c:pt idx="0">
                  <c:v>중2 3차 (2024)
고2</c:v>
                </c:pt>
                <c:pt idx="1">
                  <c:v>중2 4차 (2024)
고2</c:v>
                </c:pt>
                <c:pt idx="2">
                  <c:v>중3 1차 (2025)
고2</c:v>
                </c:pt>
                <c:pt idx="3">
                  <c:v>중3 2차 (2025)
고2</c:v>
                </c:pt>
              </c:strCache>
            </c:strRef>
          </c:cat>
          <c:val>
            <c:numRef>
              <c:f>'고2 모의고사'!$B$11:$E$11</c:f>
              <c:numCache>
                <c:formatCode>General</c:formatCode>
                <c:ptCount val="4"/>
                <c:pt idx="0">
                  <c:v>92</c:v>
                </c:pt>
                <c:pt idx="1">
                  <c:v>84</c:v>
                </c:pt>
                <c:pt idx="2">
                  <c:v>95</c:v>
                </c:pt>
                <c:pt idx="3">
                  <c:v>95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'고2 모의고사'!A12</c:f>
              <c:strCache>
                <c:ptCount val="1"/>
                <c:pt idx="0">
                  <c:v>신준섭</c:v>
                </c:pt>
              </c:strCache>
            </c:strRef>
          </c:tx>
          <c:spPr>
            <a:solidFill>
              <a:srgbClr val="98b855"/>
            </a:solidFill>
            <a:ln w="19080">
              <a:solidFill>
                <a:srgbClr val="98b855"/>
              </a:solidFill>
              <a:round/>
            </a:ln>
          </c:spPr>
          <c:marker>
            <c:symbol val="circle"/>
            <c:size val="6"/>
            <c:spPr>
              <a:solidFill>
                <a:srgbClr val="98b855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'고2 모의고사'!$B$9:$E$9</c:f>
              <c:strCache>
                <c:ptCount val="4"/>
                <c:pt idx="0">
                  <c:v>중2 3차 (2024)
고2</c:v>
                </c:pt>
                <c:pt idx="1">
                  <c:v>중2 4차 (2024)
고2</c:v>
                </c:pt>
                <c:pt idx="2">
                  <c:v>중3 1차 (2025)
고2</c:v>
                </c:pt>
                <c:pt idx="3">
                  <c:v>중3 2차 (2025)
고2</c:v>
                </c:pt>
              </c:strCache>
            </c:strRef>
          </c:cat>
          <c:val>
            <c:numRef>
              <c:f>'고2 모의고사'!$B$12:$E$12</c:f>
              <c:numCache>
                <c:formatCode>General</c:formatCode>
                <c:ptCount val="4"/>
                <c:pt idx="0">
                  <c:v>94</c:v>
                </c:pt>
                <c:pt idx="1">
                  <c:v>77</c:v>
                </c:pt>
                <c:pt idx="2">
                  <c:v>89</c:v>
                </c:pt>
                <c:pt idx="3">
                  <c:v>74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'고2 모의고사'!A13</c:f>
              <c:strCache>
                <c:ptCount val="1"/>
                <c:pt idx="0">
                  <c:v>박주연</c:v>
                </c:pt>
              </c:strCache>
            </c:strRef>
          </c:tx>
          <c:spPr>
            <a:solidFill>
              <a:srgbClr val="7d5fa0"/>
            </a:solidFill>
            <a:ln w="19080">
              <a:solidFill>
                <a:srgbClr val="7d5fa0"/>
              </a:solidFill>
              <a:round/>
            </a:ln>
          </c:spPr>
          <c:marker>
            <c:symbol val="circle"/>
            <c:size val="6"/>
            <c:spPr>
              <a:solidFill>
                <a:srgbClr val="7d5fa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'고2 모의고사'!$B$9:$E$9</c:f>
              <c:strCache>
                <c:ptCount val="4"/>
                <c:pt idx="0">
                  <c:v>중2 3차 (2024)
고2</c:v>
                </c:pt>
                <c:pt idx="1">
                  <c:v>중2 4차 (2024)
고2</c:v>
                </c:pt>
                <c:pt idx="2">
                  <c:v>중3 1차 (2025)
고2</c:v>
                </c:pt>
                <c:pt idx="3">
                  <c:v>중3 2차 (2025)
고2</c:v>
                </c:pt>
              </c:strCache>
            </c:strRef>
          </c:cat>
          <c:val>
            <c:numRef>
              <c:f>'고2 모의고사'!$B$13:$E$13</c:f>
              <c:numCache>
                <c:formatCode>General</c:formatCode>
                <c:ptCount val="4"/>
                <c:pt idx="0">
                  <c:v>69</c:v>
                </c:pt>
                <c:pt idx="1">
                  <c:v>70</c:v>
                </c:pt>
                <c:pt idx="2">
                  <c:v>89</c:v>
                </c:pt>
                <c:pt idx="3">
                  <c:v>85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'고2 모의고사'!A14</c:f>
              <c:strCache>
                <c:ptCount val="1"/>
                <c:pt idx="0">
                  <c:v>반 평균</c:v>
                </c:pt>
              </c:strCache>
            </c:strRef>
          </c:tx>
          <c:spPr>
            <a:solidFill>
              <a:srgbClr val="000000"/>
            </a:solidFill>
            <a:ln w="57240">
              <a:solidFill>
                <a:srgbClr val="000000"/>
              </a:solidFill>
              <a:round/>
            </a:ln>
          </c:spPr>
          <c:marker>
            <c:symbol val="circle"/>
            <c:size val="9"/>
            <c:spPr>
              <a:solidFill>
                <a:srgbClr val="000000"/>
              </a:solidFill>
            </c:spPr>
          </c:marker>
          <c:dLbls>
            <c:numFmt formatCode="0.0" sourceLinked="1"/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t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'고2 모의고사'!$B$9:$E$9</c:f>
              <c:strCache>
                <c:ptCount val="4"/>
                <c:pt idx="0">
                  <c:v>중2 3차 (2024)
고2</c:v>
                </c:pt>
                <c:pt idx="1">
                  <c:v>중2 4차 (2024)
고2</c:v>
                </c:pt>
                <c:pt idx="2">
                  <c:v>중3 1차 (2025)
고2</c:v>
                </c:pt>
                <c:pt idx="3">
                  <c:v>중3 2차 (2025)
고2</c:v>
                </c:pt>
              </c:strCache>
            </c:strRef>
          </c:cat>
          <c:val>
            <c:numRef>
              <c:f>'고2 모의고사'!$B$14:$E$14</c:f>
              <c:numCache>
                <c:formatCode>0.0</c:formatCode>
                <c:ptCount val="4"/>
                <c:pt idx="0">
                  <c:v>86</c:v>
                </c:pt>
                <c:pt idx="1">
                  <c:v>82.75</c:v>
                </c:pt>
                <c:pt idx="2">
                  <c:v>92</c:v>
                </c:pt>
                <c:pt idx="3">
                  <c:v>86.5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62180242"/>
        <c:axId val="80924187"/>
      </c:lineChart>
      <c:catAx>
        <c:axId val="6218024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0924187"/>
        <c:crosses val="autoZero"/>
        <c:auto val="1"/>
        <c:lblAlgn val="ctr"/>
        <c:lblOffset val="100"/>
        <c:noMultiLvlLbl val="0"/>
      </c:catAx>
      <c:valAx>
        <c:axId val="80924187"/>
        <c:scaling>
          <c:orientation val="minMax"/>
          <c:max val="100"/>
          <c:min val="5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총점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2180242"/>
        <c:crosses val="autoZero"/>
        <c:crossBetween val="between"/>
        <c:majorUnit val="10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고2 모의고사 · 첫 시험 vs 마지막 시험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'고2 모의고사'!F9</c:f>
              <c:strCache>
                <c:ptCount val="1"/>
                <c:pt idx="0">
                  <c:v>첫 시험</c:v>
                </c:pt>
              </c:strCache>
            </c:strRef>
          </c:tx>
          <c:spPr>
            <a:solidFill>
              <a:srgbClr val="a6b8b4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'고2 모의고사'!$A$10:$A$14</c:f>
              <c:strCache>
                <c:ptCount val="5"/>
                <c:pt idx="0">
                  <c:v>구성관</c:v>
                </c:pt>
                <c:pt idx="1">
                  <c:v>송지효</c:v>
                </c:pt>
                <c:pt idx="2">
                  <c:v>신준섭</c:v>
                </c:pt>
                <c:pt idx="3">
                  <c:v>박주연</c:v>
                </c:pt>
                <c:pt idx="4">
                  <c:v>반 평균</c:v>
                </c:pt>
              </c:strCache>
            </c:strRef>
          </c:cat>
          <c:val>
            <c:numRef>
              <c:f>'고2 모의고사'!$F$10:$F$14</c:f>
              <c:numCache>
                <c:formatCode>General</c:formatCode>
                <c:ptCount val="5"/>
                <c:pt idx="0">
                  <c:v>89</c:v>
                </c:pt>
                <c:pt idx="1">
                  <c:v>92</c:v>
                </c:pt>
                <c:pt idx="2">
                  <c:v>94</c:v>
                </c:pt>
                <c:pt idx="3">
                  <c:v>69</c:v>
                </c:pt>
                <c:pt idx="4">
                  <c:v>86</c:v>
                </c:pt>
              </c:numCache>
            </c:numRef>
          </c:val>
        </c:ser>
        <c:ser>
          <c:idx val="1"/>
          <c:order val="1"/>
          <c:tx>
            <c:strRef>
              <c:f>'고2 모의고사'!G9</c:f>
              <c:strCache>
                <c:ptCount val="1"/>
                <c:pt idx="0">
                  <c:v>마지막 시험</c:v>
                </c:pt>
              </c:strCache>
            </c:strRef>
          </c:tx>
          <c:spPr>
            <a:solidFill>
              <a:srgbClr val="1e7a72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'고2 모의고사'!$A$10:$A$14</c:f>
              <c:strCache>
                <c:ptCount val="5"/>
                <c:pt idx="0">
                  <c:v>구성관</c:v>
                </c:pt>
                <c:pt idx="1">
                  <c:v>송지효</c:v>
                </c:pt>
                <c:pt idx="2">
                  <c:v>신준섭</c:v>
                </c:pt>
                <c:pt idx="3">
                  <c:v>박주연</c:v>
                </c:pt>
                <c:pt idx="4">
                  <c:v>반 평균</c:v>
                </c:pt>
              </c:strCache>
            </c:strRef>
          </c:cat>
          <c:val>
            <c:numRef>
              <c:f>'고2 모의고사'!$G$10:$G$14</c:f>
              <c:numCache>
                <c:formatCode>General</c:formatCode>
                <c:ptCount val="5"/>
                <c:pt idx="0">
                  <c:v>92</c:v>
                </c:pt>
                <c:pt idx="1">
                  <c:v>95</c:v>
                </c:pt>
                <c:pt idx="2">
                  <c:v>74</c:v>
                </c:pt>
                <c:pt idx="3">
                  <c:v>85</c:v>
                </c:pt>
                <c:pt idx="4">
                  <c:v>86.5</c:v>
                </c:pt>
              </c:numCache>
            </c:numRef>
          </c:val>
        </c:ser>
        <c:gapWidth val="150"/>
        <c:overlap val="0"/>
        <c:axId val="59103199"/>
        <c:axId val="675415"/>
      </c:barChart>
      <c:catAx>
        <c:axId val="591031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75415"/>
        <c:crosses val="autoZero"/>
        <c:auto val="1"/>
        <c:lblAlgn val="ctr"/>
        <c:lblOffset val="100"/>
        <c:noMultiLvlLbl val="0"/>
      </c:catAx>
      <c:valAx>
        <c:axId val="675415"/>
        <c:scaling>
          <c:orientation val="minMax"/>
          <c:max val="10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910319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고3 모의고사+수능 · 총점 (반 평균 = 굵은 선)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'고3 모의고사·수능'!A8</c:f>
              <c:strCache>
                <c:ptCount val="1"/>
                <c:pt idx="0">
                  <c:v>구성관</c:v>
                </c:pt>
              </c:strCache>
            </c:strRef>
          </c:tx>
          <c:spPr>
            <a:solidFill>
              <a:srgbClr val="4a7ebb"/>
            </a:solidFill>
            <a:ln w="19080">
              <a:solidFill>
                <a:srgbClr val="4a7ebb"/>
              </a:solidFill>
              <a:round/>
            </a:ln>
          </c:spPr>
          <c:marker>
            <c:symbol val="circle"/>
            <c:size val="6"/>
            <c:spPr>
              <a:solidFill>
                <a:srgbClr val="4a7eb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'고3 모의고사·수능'!$B$7</c:f>
              <c:strCache>
                <c:ptCount val="1"/>
                <c:pt idx="0">
                  <c:v>중3 3차 (2025)
고3</c:v>
                </c:pt>
              </c:strCache>
            </c:strRef>
          </c:cat>
          <c:val>
            <c:numRef>
              <c:f>'고3 모의고사·수능'!$B$8</c:f>
              <c:numCache>
                <c:formatCode>General</c:formatCode>
                <c:ptCount val="1"/>
                <c:pt idx="0">
                  <c:v>100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'고3 모의고사·수능'!A9</c:f>
              <c:strCache>
                <c:ptCount val="1"/>
                <c:pt idx="0">
                  <c:v>송지효</c:v>
                </c:pt>
              </c:strCache>
            </c:strRef>
          </c:tx>
          <c:spPr>
            <a:solidFill>
              <a:srgbClr val="be4b48"/>
            </a:solidFill>
            <a:ln w="19080">
              <a:solidFill>
                <a:srgbClr val="be4b48"/>
              </a:solidFill>
              <a:round/>
            </a:ln>
          </c:spPr>
          <c:marker>
            <c:symbol val="circle"/>
            <c:size val="6"/>
            <c:spPr>
              <a:solidFill>
                <a:srgbClr val="be4b48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'고3 모의고사·수능'!$B$7</c:f>
              <c:strCache>
                <c:ptCount val="1"/>
                <c:pt idx="0">
                  <c:v>중3 3차 (2025)
고3</c:v>
                </c:pt>
              </c:strCache>
            </c:strRef>
          </c:cat>
          <c:val>
            <c:numRef>
              <c:f>'고3 모의고사·수능'!$B$9</c:f>
              <c:numCache>
                <c:formatCode>General</c:formatCode>
                <c:ptCount val="1"/>
                <c:pt idx="0">
                  <c:v>100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'고3 모의고사·수능'!A10</c:f>
              <c:strCache>
                <c:ptCount val="1"/>
                <c:pt idx="0">
                  <c:v>신준섭</c:v>
                </c:pt>
              </c:strCache>
            </c:strRef>
          </c:tx>
          <c:spPr>
            <a:solidFill>
              <a:srgbClr val="98b855"/>
            </a:solidFill>
            <a:ln w="19080">
              <a:solidFill>
                <a:srgbClr val="98b855"/>
              </a:solidFill>
              <a:round/>
            </a:ln>
          </c:spPr>
          <c:marker>
            <c:symbol val="circle"/>
            <c:size val="6"/>
            <c:spPr>
              <a:solidFill>
                <a:srgbClr val="98b855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'고3 모의고사·수능'!$B$7</c:f>
              <c:strCache>
                <c:ptCount val="1"/>
                <c:pt idx="0">
                  <c:v>중3 3차 (2025)
고3</c:v>
                </c:pt>
              </c:strCache>
            </c:strRef>
          </c:cat>
          <c:val>
            <c:numRef>
              <c:f>'고3 모의고사·수능'!$B$10</c:f>
              <c:numCache>
                <c:formatCode>General</c:formatCode>
                <c:ptCount val="1"/>
                <c:pt idx="0">
                  <c:v>87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'고3 모의고사·수능'!A11</c:f>
              <c:strCache>
                <c:ptCount val="1"/>
                <c:pt idx="0">
                  <c:v>박주연</c:v>
                </c:pt>
              </c:strCache>
            </c:strRef>
          </c:tx>
          <c:spPr>
            <a:solidFill>
              <a:srgbClr val="7d5fa0"/>
            </a:solidFill>
            <a:ln w="19080">
              <a:solidFill>
                <a:srgbClr val="7d5fa0"/>
              </a:solidFill>
              <a:round/>
            </a:ln>
          </c:spPr>
          <c:marker>
            <c:symbol val="circle"/>
            <c:size val="6"/>
            <c:spPr>
              <a:solidFill>
                <a:srgbClr val="7d5fa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'고3 모의고사·수능'!$B$7</c:f>
              <c:strCache>
                <c:ptCount val="1"/>
                <c:pt idx="0">
                  <c:v>중3 3차 (2025)
고3</c:v>
                </c:pt>
              </c:strCache>
            </c:strRef>
          </c:cat>
          <c:val>
            <c:numRef>
              <c:f>'고3 모의고사·수능'!$B$11</c:f>
              <c:numCache>
                <c:formatCode>General</c:formatCode>
                <c:ptCount val="1"/>
                <c:pt idx="0">
                  <c:v>82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'고3 모의고사·수능'!A12</c:f>
              <c:strCache>
                <c:ptCount val="1"/>
                <c:pt idx="0">
                  <c:v>반 평균</c:v>
                </c:pt>
              </c:strCache>
            </c:strRef>
          </c:tx>
          <c:spPr>
            <a:solidFill>
              <a:srgbClr val="000000"/>
            </a:solidFill>
            <a:ln w="57240">
              <a:solidFill>
                <a:srgbClr val="000000"/>
              </a:solidFill>
              <a:round/>
            </a:ln>
          </c:spPr>
          <c:marker>
            <c:symbol val="circle"/>
            <c:size val="9"/>
            <c:spPr>
              <a:solidFill>
                <a:srgbClr val="000000"/>
              </a:solidFill>
            </c:spPr>
          </c:marker>
          <c:dLbls>
            <c:numFmt formatCode="0.0" sourceLinked="1"/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t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'고3 모의고사·수능'!$B$7</c:f>
              <c:strCache>
                <c:ptCount val="1"/>
                <c:pt idx="0">
                  <c:v>중3 3차 (2025)
고3</c:v>
                </c:pt>
              </c:strCache>
            </c:strRef>
          </c:cat>
          <c:val>
            <c:numRef>
              <c:f>'고3 모의고사·수능'!$B$12</c:f>
              <c:numCache>
                <c:formatCode>0.0</c:formatCode>
                <c:ptCount val="1"/>
                <c:pt idx="0">
                  <c:v>92.25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73915847"/>
        <c:axId val="93769188"/>
      </c:lineChart>
      <c:catAx>
        <c:axId val="739158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3769188"/>
        <c:crosses val="autoZero"/>
        <c:auto val="1"/>
        <c:lblAlgn val="ctr"/>
        <c:lblOffset val="100"/>
        <c:noMultiLvlLbl val="0"/>
      </c:catAx>
      <c:valAx>
        <c:axId val="93769188"/>
        <c:scaling>
          <c:orientation val="minMax"/>
          <c:max val="100"/>
          <c:min val="5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총점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3915847"/>
        <c:crosses val="autoZero"/>
        <c:crossBetween val="between"/>
        <c:majorUnit val="10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7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14</xdr:row>
      <xdr:rowOff>134640</xdr:rowOff>
    </xdr:from>
    <xdr:to>
      <xdr:col>4</xdr:col>
      <xdr:colOff>1022040</xdr:colOff>
      <xdr:row>31</xdr:row>
      <xdr:rowOff>135720</xdr:rowOff>
    </xdr:to>
    <xdr:graphicFrame>
      <xdr:nvGraphicFramePr>
        <xdr:cNvPr id="0" name="Chart 1"/>
        <xdr:cNvGraphicFramePr/>
      </xdr:nvGraphicFramePr>
      <xdr:xfrm>
        <a:off x="0" y="3247920"/>
        <a:ext cx="503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0</xdr:colOff>
      <xdr:row>34</xdr:row>
      <xdr:rowOff>134640</xdr:rowOff>
    </xdr:from>
    <xdr:to>
      <xdr:col>5</xdr:col>
      <xdr:colOff>1193400</xdr:colOff>
      <xdr:row>51</xdr:row>
      <xdr:rowOff>135720</xdr:rowOff>
    </xdr:to>
    <xdr:graphicFrame>
      <xdr:nvGraphicFramePr>
        <xdr:cNvPr id="1" name="Chart 2"/>
        <xdr:cNvGraphicFramePr/>
      </xdr:nvGraphicFramePr>
      <xdr:xfrm>
        <a:off x="0" y="7058160"/>
        <a:ext cx="647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14</xdr:row>
      <xdr:rowOff>134640</xdr:rowOff>
    </xdr:from>
    <xdr:to>
      <xdr:col>7</xdr:col>
      <xdr:colOff>208080</xdr:colOff>
      <xdr:row>31</xdr:row>
      <xdr:rowOff>135720</xdr:rowOff>
    </xdr:to>
    <xdr:graphicFrame>
      <xdr:nvGraphicFramePr>
        <xdr:cNvPr id="2" name="Chart 1"/>
        <xdr:cNvGraphicFramePr/>
      </xdr:nvGraphicFramePr>
      <xdr:xfrm>
        <a:off x="0" y="3476520"/>
        <a:ext cx="6551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0</xdr:colOff>
      <xdr:row>34</xdr:row>
      <xdr:rowOff>134640</xdr:rowOff>
    </xdr:from>
    <xdr:to>
      <xdr:col>6</xdr:col>
      <xdr:colOff>332280</xdr:colOff>
      <xdr:row>51</xdr:row>
      <xdr:rowOff>135720</xdr:rowOff>
    </xdr:to>
    <xdr:graphicFrame>
      <xdr:nvGraphicFramePr>
        <xdr:cNvPr id="3" name="Chart 2"/>
        <xdr:cNvGraphicFramePr/>
      </xdr:nvGraphicFramePr>
      <xdr:xfrm>
        <a:off x="0" y="7286760"/>
        <a:ext cx="575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15</xdr:row>
      <xdr:rowOff>134640</xdr:rowOff>
    </xdr:from>
    <xdr:to>
      <xdr:col>6</xdr:col>
      <xdr:colOff>332280</xdr:colOff>
      <xdr:row>32</xdr:row>
      <xdr:rowOff>135720</xdr:rowOff>
    </xdr:to>
    <xdr:graphicFrame>
      <xdr:nvGraphicFramePr>
        <xdr:cNvPr id="4" name="Chart 1"/>
        <xdr:cNvGraphicFramePr/>
      </xdr:nvGraphicFramePr>
      <xdr:xfrm>
        <a:off x="0" y="3476520"/>
        <a:ext cx="575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0</xdr:colOff>
      <xdr:row>35</xdr:row>
      <xdr:rowOff>134640</xdr:rowOff>
    </xdr:from>
    <xdr:to>
      <xdr:col>6</xdr:col>
      <xdr:colOff>332280</xdr:colOff>
      <xdr:row>52</xdr:row>
      <xdr:rowOff>135720</xdr:rowOff>
    </xdr:to>
    <xdr:graphicFrame>
      <xdr:nvGraphicFramePr>
        <xdr:cNvPr id="5" name="Chart 2"/>
        <xdr:cNvGraphicFramePr/>
      </xdr:nvGraphicFramePr>
      <xdr:xfrm>
        <a:off x="0" y="7286760"/>
        <a:ext cx="575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13</xdr:row>
      <xdr:rowOff>134640</xdr:rowOff>
    </xdr:from>
    <xdr:to>
      <xdr:col>6</xdr:col>
      <xdr:colOff>332280</xdr:colOff>
      <xdr:row>30</xdr:row>
      <xdr:rowOff>135720</xdr:rowOff>
    </xdr:to>
    <xdr:graphicFrame>
      <xdr:nvGraphicFramePr>
        <xdr:cNvPr id="6" name="Chart 1"/>
        <xdr:cNvGraphicFramePr/>
      </xdr:nvGraphicFramePr>
      <xdr:xfrm>
        <a:off x="0" y="3247920"/>
        <a:ext cx="575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3"/>
    <col collapsed="false" customWidth="true" hidden="false" outlineLevel="0" max="4" min="3" style="0" width="16"/>
    <col collapsed="false" customWidth="true" hidden="false" outlineLevel="0" max="6" min="5" style="0" width="18"/>
    <col collapsed="false" customWidth="true" hidden="false" outlineLevel="0" max="7" min="7" style="0" width="10"/>
  </cols>
  <sheetData>
    <row r="1" customFormat="false" ht="19.4" hidden="false" customHeight="false" outlineLevel="0" collapsed="false">
      <c r="A1" s="1" t="s">
        <v>0</v>
      </c>
    </row>
    <row r="3" customFormat="false" ht="18" hidden="false" customHeight="true" outlineLevel="0" collapsed="false">
      <c r="A3" s="2" t="s">
        <v>1</v>
      </c>
      <c r="B3" s="2"/>
      <c r="C3" s="2"/>
      <c r="D3" s="2"/>
      <c r="E3" s="2"/>
      <c r="F3" s="2"/>
      <c r="G3" s="2"/>
      <c r="H3" s="2"/>
      <c r="I3" s="2"/>
    </row>
    <row r="4" customFormat="false" ht="18" hidden="false" customHeight="true" outlineLevel="0" collapsed="false">
      <c r="A4" s="2" t="s">
        <v>2</v>
      </c>
      <c r="B4" s="2"/>
      <c r="C4" s="2"/>
      <c r="D4" s="2"/>
      <c r="E4" s="2"/>
      <c r="F4" s="2"/>
      <c r="G4" s="2"/>
      <c r="H4" s="2"/>
      <c r="I4" s="2"/>
    </row>
    <row r="5" customFormat="false" ht="18" hidden="false" customHeight="true" outlineLevel="0" collapsed="false">
      <c r="A5" s="2" t="s">
        <v>3</v>
      </c>
      <c r="B5" s="2"/>
      <c r="C5" s="2"/>
      <c r="D5" s="2"/>
      <c r="E5" s="2"/>
      <c r="F5" s="2"/>
      <c r="G5" s="2"/>
      <c r="H5" s="2"/>
      <c r="I5" s="2"/>
    </row>
    <row r="6" customFormat="false" ht="18" hidden="false" customHeight="true" outlineLevel="0" collapsed="false">
      <c r="A6" s="2" t="s">
        <v>4</v>
      </c>
      <c r="B6" s="2"/>
      <c r="C6" s="2"/>
      <c r="D6" s="2"/>
      <c r="E6" s="2"/>
      <c r="F6" s="2"/>
      <c r="G6" s="2"/>
      <c r="H6" s="2"/>
      <c r="I6" s="2"/>
    </row>
    <row r="8" customFormat="false" ht="33.75" hidden="false" customHeight="true" outlineLevel="0" collapsed="false">
      <c r="A8" s="3" t="s">
        <v>5</v>
      </c>
      <c r="B8" s="3" t="s">
        <v>6</v>
      </c>
      <c r="C8" s="3" t="s">
        <v>7</v>
      </c>
      <c r="D8" s="3" t="s">
        <v>8</v>
      </c>
      <c r="E8" s="3" t="s">
        <v>9</v>
      </c>
      <c r="F8" s="3" t="s">
        <v>10</v>
      </c>
    </row>
    <row r="9" customFormat="false" ht="15" hidden="false" customHeight="false" outlineLevel="0" collapsed="false">
      <c r="A9" s="4" t="s">
        <v>11</v>
      </c>
      <c r="B9" s="5" t="n">
        <f aca="false">'고1 모의고사'!B9</f>
        <v>71</v>
      </c>
      <c r="C9" s="6" t="n">
        <f aca="false">'고1 모의고사'!L9</f>
        <v>82.1428571428571</v>
      </c>
      <c r="D9" s="6" t="n">
        <f aca="false">'고2 모의고사'!I10</f>
        <v>94</v>
      </c>
      <c r="E9" s="6" t="n">
        <f aca="false">'고3 모의고사·수능'!C8</f>
        <v>100</v>
      </c>
      <c r="F9" s="7" t="n">
        <f aca="false">E9-B9</f>
        <v>29</v>
      </c>
    </row>
    <row r="10" customFormat="false" ht="15" hidden="false" customHeight="false" outlineLevel="0" collapsed="false">
      <c r="A10" s="4" t="s">
        <v>12</v>
      </c>
      <c r="B10" s="5" t="n">
        <f aca="false">'고1 모의고사'!B10</f>
        <v>58</v>
      </c>
      <c r="C10" s="6" t="n">
        <f aca="false">'고1 모의고사'!L10</f>
        <v>85.7142857142857</v>
      </c>
      <c r="D10" s="6" t="n">
        <f aca="false">'고2 모의고사'!I11</f>
        <v>91.5</v>
      </c>
      <c r="E10" s="6" t="n">
        <f aca="false">'고3 모의고사·수능'!C9</f>
        <v>100</v>
      </c>
      <c r="F10" s="7" t="n">
        <f aca="false">E10-B10</f>
        <v>42</v>
      </c>
    </row>
    <row r="11" customFormat="false" ht="15" hidden="false" customHeight="false" outlineLevel="0" collapsed="false">
      <c r="A11" s="4" t="s">
        <v>13</v>
      </c>
      <c r="B11" s="5" t="n">
        <f aca="false">'고1 모의고사'!B11</f>
        <v>70</v>
      </c>
      <c r="C11" s="6" t="n">
        <f aca="false">'고1 모의고사'!L11</f>
        <v>76.1428571428571</v>
      </c>
      <c r="D11" s="6" t="n">
        <f aca="false">'고2 모의고사'!I12</f>
        <v>83.5</v>
      </c>
      <c r="E11" s="6" t="n">
        <f aca="false">'고3 모의고사·수능'!C10</f>
        <v>87</v>
      </c>
      <c r="F11" s="7" t="n">
        <f aca="false">E11-B11</f>
        <v>17</v>
      </c>
    </row>
    <row r="12" customFormat="false" ht="15" hidden="false" customHeight="false" outlineLevel="0" collapsed="false">
      <c r="A12" s="4" t="s">
        <v>14</v>
      </c>
      <c r="B12" s="5" t="n">
        <f aca="false">'고1 모의고사'!B12</f>
        <v>69</v>
      </c>
      <c r="C12" s="6" t="n">
        <f aca="false">'고1 모의고사'!L12</f>
        <v>77.4285714285714</v>
      </c>
      <c r="D12" s="6" t="n">
        <f aca="false">'고2 모의고사'!I13</f>
        <v>78.25</v>
      </c>
      <c r="E12" s="6" t="n">
        <f aca="false">'고3 모의고사·수능'!C11</f>
        <v>82</v>
      </c>
      <c r="F12" s="7" t="n">
        <f aca="false">E12-B12</f>
        <v>13</v>
      </c>
    </row>
    <row r="13" customFormat="false" ht="15" hidden="false" customHeight="false" outlineLevel="0" collapsed="false">
      <c r="A13" s="8" t="s">
        <v>15</v>
      </c>
      <c r="B13" s="9" t="n">
        <f aca="false">'고1 모의고사'!B13</f>
        <v>67</v>
      </c>
      <c r="C13" s="9" t="n">
        <f aca="false">'고1 모의고사'!L13</f>
        <v>80.3571428571429</v>
      </c>
      <c r="D13" s="9" t="n">
        <f aca="false">'고2 모의고사'!I14</f>
        <v>86.8125</v>
      </c>
      <c r="E13" s="9" t="n">
        <f aca="false">'고3 모의고사·수능'!C12</f>
        <v>92.25</v>
      </c>
      <c r="F13" s="10" t="n">
        <f aca="false">E13-B13</f>
        <v>25.25</v>
      </c>
    </row>
    <row r="15" customFormat="false" ht="15" hidden="false" customHeight="false" outlineLevel="0" collapsed="false">
      <c r="A15" s="11" t="s">
        <v>16</v>
      </c>
    </row>
  </sheetData>
  <mergeCells count="4">
    <mergeCell ref="A3:I3"/>
    <mergeCell ref="A4:I4"/>
    <mergeCell ref="A5:I5"/>
    <mergeCell ref="A6:I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13" min="2" style="0" width="13"/>
  </cols>
  <sheetData>
    <row r="1" customFormat="false" ht="19.4" hidden="false" customHeight="false" outlineLevel="0" collapsed="false">
      <c r="A1" s="1" t="s">
        <v>17</v>
      </c>
    </row>
    <row r="3" customFormat="false" ht="36" hidden="false" customHeight="true" outlineLevel="0" collapsed="false">
      <c r="A3" s="2" t="s">
        <v>18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</row>
    <row r="4" customFormat="false" ht="18" hidden="false" customHeight="true" outlineLevel="0" collapsed="false">
      <c r="A4" s="2" t="s">
        <v>19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</row>
    <row r="5" customFormat="false" ht="18" hidden="false" customHeight="true" outlineLevel="0" collapsed="false">
      <c r="A5" s="2" t="s">
        <v>20</v>
      </c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</row>
    <row r="6" customFormat="false" ht="18" hidden="false" customHeight="true" outlineLevel="0" collapsed="false">
      <c r="A6" s="2" t="s">
        <v>21</v>
      </c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</row>
    <row r="8" customFormat="false" ht="33.75" hidden="false" customHeight="true" outlineLevel="0" collapsed="false">
      <c r="A8" s="3" t="s">
        <v>5</v>
      </c>
      <c r="B8" s="3" t="s">
        <v>22</v>
      </c>
      <c r="C8" s="3" t="s">
        <v>23</v>
      </c>
      <c r="D8" s="3" t="s">
        <v>24</v>
      </c>
      <c r="E8" s="3" t="s">
        <v>25</v>
      </c>
      <c r="F8" s="3" t="s">
        <v>26</v>
      </c>
      <c r="G8" s="3" t="s">
        <v>27</v>
      </c>
      <c r="H8" s="3" t="s">
        <v>28</v>
      </c>
      <c r="I8" s="3" t="s">
        <v>29</v>
      </c>
      <c r="J8" s="3" t="s">
        <v>30</v>
      </c>
      <c r="K8" s="3" t="s">
        <v>31</v>
      </c>
      <c r="L8" s="3" t="s">
        <v>32</v>
      </c>
      <c r="M8" s="3" t="s">
        <v>33</v>
      </c>
    </row>
    <row r="9" customFormat="false" ht="15" hidden="false" customHeight="false" outlineLevel="0" collapsed="false">
      <c r="A9" s="4" t="s">
        <v>11</v>
      </c>
      <c r="B9" s="12" t="n">
        <v>71</v>
      </c>
      <c r="C9" s="12" t="n">
        <v>72</v>
      </c>
      <c r="D9" s="12" t="n">
        <v>73</v>
      </c>
      <c r="E9" s="12" t="n">
        <v>83</v>
      </c>
      <c r="F9" s="12" t="n">
        <v>83</v>
      </c>
      <c r="G9" s="12" t="n">
        <v>96</v>
      </c>
      <c r="H9" s="12" t="n">
        <v>97</v>
      </c>
      <c r="I9" s="13" t="n">
        <f aca="false">B9</f>
        <v>71</v>
      </c>
      <c r="J9" s="13" t="n">
        <f aca="false">LOOKUP(9.99E+307,B9:H9)</f>
        <v>97</v>
      </c>
      <c r="K9" s="14" t="n">
        <f aca="false">J9-I9</f>
        <v>26</v>
      </c>
      <c r="L9" s="15" t="n">
        <f aca="false">AVERAGE(B9:H9)</f>
        <v>82.1428571428571</v>
      </c>
      <c r="M9" s="13" t="n">
        <f aca="false">MAX(B9:H9)</f>
        <v>97</v>
      </c>
    </row>
    <row r="10" customFormat="false" ht="15" hidden="false" customHeight="false" outlineLevel="0" collapsed="false">
      <c r="A10" s="4" t="s">
        <v>12</v>
      </c>
      <c r="B10" s="12" t="n">
        <v>58</v>
      </c>
      <c r="C10" s="12" t="n">
        <v>81</v>
      </c>
      <c r="D10" s="12" t="n">
        <v>81</v>
      </c>
      <c r="E10" s="12" t="n">
        <v>92</v>
      </c>
      <c r="F10" s="12" t="n">
        <v>94</v>
      </c>
      <c r="G10" s="12" t="n">
        <v>100</v>
      </c>
      <c r="H10" s="12" t="n">
        <v>94</v>
      </c>
      <c r="I10" s="13" t="n">
        <f aca="false">B10</f>
        <v>58</v>
      </c>
      <c r="J10" s="13" t="n">
        <f aca="false">LOOKUP(9.99E+307,B10:H10)</f>
        <v>94</v>
      </c>
      <c r="K10" s="14" t="n">
        <f aca="false">J10-I10</f>
        <v>36</v>
      </c>
      <c r="L10" s="15" t="n">
        <f aca="false">AVERAGE(B10:H10)</f>
        <v>85.7142857142857</v>
      </c>
      <c r="M10" s="13" t="n">
        <f aca="false">MAX(B10:H10)</f>
        <v>100</v>
      </c>
    </row>
    <row r="11" customFormat="false" ht="15" hidden="false" customHeight="false" outlineLevel="0" collapsed="false">
      <c r="A11" s="4" t="s">
        <v>13</v>
      </c>
      <c r="B11" s="12" t="n">
        <v>70</v>
      </c>
      <c r="C11" s="12" t="n">
        <v>74</v>
      </c>
      <c r="D11" s="12" t="n">
        <v>70</v>
      </c>
      <c r="E11" s="12" t="n">
        <v>75</v>
      </c>
      <c r="F11" s="12" t="n">
        <v>75</v>
      </c>
      <c r="G11" s="12" t="n">
        <v>90</v>
      </c>
      <c r="H11" s="12" t="n">
        <v>79</v>
      </c>
      <c r="I11" s="13" t="n">
        <f aca="false">B11</f>
        <v>70</v>
      </c>
      <c r="J11" s="13" t="n">
        <f aca="false">LOOKUP(9.99E+307,B11:H11)</f>
        <v>79</v>
      </c>
      <c r="K11" s="14" t="n">
        <f aca="false">J11-I11</f>
        <v>9</v>
      </c>
      <c r="L11" s="15" t="n">
        <f aca="false">AVERAGE(B11:H11)</f>
        <v>76.1428571428571</v>
      </c>
      <c r="M11" s="13" t="n">
        <f aca="false">MAX(B11:H11)</f>
        <v>90</v>
      </c>
    </row>
    <row r="12" customFormat="false" ht="15" hidden="false" customHeight="false" outlineLevel="0" collapsed="false">
      <c r="A12" s="4" t="s">
        <v>14</v>
      </c>
      <c r="B12" s="12" t="n">
        <v>69</v>
      </c>
      <c r="C12" s="12" t="n">
        <v>65</v>
      </c>
      <c r="D12" s="12" t="n">
        <v>71</v>
      </c>
      <c r="E12" s="12" t="n">
        <v>84</v>
      </c>
      <c r="F12" s="12" t="n">
        <v>75</v>
      </c>
      <c r="G12" s="12" t="n">
        <v>92</v>
      </c>
      <c r="H12" s="12" t="n">
        <v>86</v>
      </c>
      <c r="I12" s="13" t="n">
        <f aca="false">B12</f>
        <v>69</v>
      </c>
      <c r="J12" s="13" t="n">
        <f aca="false">LOOKUP(9.99E+307,B12:H12)</f>
        <v>86</v>
      </c>
      <c r="K12" s="14" t="n">
        <f aca="false">J12-I12</f>
        <v>17</v>
      </c>
      <c r="L12" s="15" t="n">
        <f aca="false">AVERAGE(B12:H12)</f>
        <v>77.4285714285714</v>
      </c>
      <c r="M12" s="13" t="n">
        <f aca="false">MAX(B12:H12)</f>
        <v>92</v>
      </c>
    </row>
    <row r="13" customFormat="false" ht="15" hidden="false" customHeight="false" outlineLevel="0" collapsed="false">
      <c r="A13" s="8" t="s">
        <v>15</v>
      </c>
      <c r="B13" s="16" t="n">
        <f aca="false">AVERAGE(B9:B12)</f>
        <v>67</v>
      </c>
      <c r="C13" s="16" t="n">
        <f aca="false">AVERAGE(C9:C12)</f>
        <v>73</v>
      </c>
      <c r="D13" s="16" t="n">
        <f aca="false">AVERAGE(D9:D12)</f>
        <v>73.75</v>
      </c>
      <c r="E13" s="16" t="n">
        <f aca="false">AVERAGE(E9:E12)</f>
        <v>83.5</v>
      </c>
      <c r="F13" s="16" t="n">
        <f aca="false">AVERAGE(F9:F12)</f>
        <v>81.75</v>
      </c>
      <c r="G13" s="16" t="n">
        <f aca="false">AVERAGE(G9:G12)</f>
        <v>94.5</v>
      </c>
      <c r="H13" s="16" t="n">
        <f aca="false">AVERAGE(H9:H12)</f>
        <v>89</v>
      </c>
      <c r="I13" s="16" t="n">
        <f aca="false">B13</f>
        <v>67</v>
      </c>
      <c r="J13" s="16" t="n">
        <f aca="false">H13</f>
        <v>89</v>
      </c>
      <c r="K13" s="10" t="n">
        <f aca="false">J13-I13</f>
        <v>22</v>
      </c>
      <c r="L13" s="16" t="n">
        <f aca="false">AVERAGE(B9:H12)</f>
        <v>80.3571428571429</v>
      </c>
      <c r="M13" s="16" t="n">
        <f aca="false">MAX(B13:H13)</f>
        <v>94.5</v>
      </c>
    </row>
    <row r="14" customFormat="false" ht="15" hidden="false" customHeight="false" outlineLevel="0" collapsed="false">
      <c r="A14" s="11" t="s">
        <v>34</v>
      </c>
    </row>
  </sheetData>
  <mergeCells count="4">
    <mergeCell ref="A3:M3"/>
    <mergeCell ref="A4:M4"/>
    <mergeCell ref="A5:M5"/>
    <mergeCell ref="A6:M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10" min="2" style="0" width="13"/>
  </cols>
  <sheetData>
    <row r="1" customFormat="false" ht="19.4" hidden="false" customHeight="false" outlineLevel="0" collapsed="false">
      <c r="A1" s="1" t="s">
        <v>35</v>
      </c>
    </row>
    <row r="3" customFormat="false" ht="18" hidden="false" customHeight="true" outlineLevel="0" collapsed="false">
      <c r="A3" s="2" t="s">
        <v>36</v>
      </c>
      <c r="B3" s="2"/>
      <c r="C3" s="2"/>
      <c r="D3" s="2"/>
      <c r="E3" s="2"/>
      <c r="F3" s="2"/>
      <c r="G3" s="2"/>
      <c r="H3" s="2"/>
      <c r="I3" s="2"/>
      <c r="J3" s="2"/>
    </row>
    <row r="4" customFormat="false" ht="18" hidden="false" customHeight="true" outlineLevel="0" collapsed="false">
      <c r="A4" s="2" t="s">
        <v>37</v>
      </c>
      <c r="B4" s="2"/>
      <c r="C4" s="2"/>
      <c r="D4" s="2"/>
      <c r="E4" s="2"/>
      <c r="F4" s="2"/>
      <c r="G4" s="2"/>
      <c r="H4" s="2"/>
      <c r="I4" s="2"/>
      <c r="J4" s="2"/>
    </row>
    <row r="5" customFormat="false" ht="18" hidden="false" customHeight="true" outlineLevel="0" collapsed="false">
      <c r="A5" s="2" t="s">
        <v>38</v>
      </c>
      <c r="B5" s="2"/>
      <c r="C5" s="2"/>
      <c r="D5" s="2"/>
      <c r="E5" s="2"/>
      <c r="F5" s="2"/>
      <c r="G5" s="2"/>
      <c r="H5" s="2"/>
      <c r="I5" s="2"/>
      <c r="J5" s="2"/>
    </row>
    <row r="6" customFormat="false" ht="18" hidden="false" customHeight="true" outlineLevel="0" collapsed="false">
      <c r="A6" s="2" t="s">
        <v>39</v>
      </c>
      <c r="B6" s="2"/>
      <c r="C6" s="2"/>
      <c r="D6" s="2"/>
      <c r="E6" s="2"/>
      <c r="F6" s="2"/>
      <c r="G6" s="2"/>
      <c r="H6" s="2"/>
      <c r="I6" s="2"/>
      <c r="J6" s="2"/>
    </row>
    <row r="7" customFormat="false" ht="18" hidden="false" customHeight="true" outlineLevel="0" collapsed="false">
      <c r="A7" s="2" t="s">
        <v>40</v>
      </c>
      <c r="B7" s="2"/>
      <c r="C7" s="2"/>
      <c r="D7" s="2"/>
      <c r="E7" s="2"/>
      <c r="F7" s="2"/>
      <c r="G7" s="2"/>
      <c r="H7" s="2"/>
      <c r="I7" s="2"/>
      <c r="J7" s="2"/>
    </row>
    <row r="9" customFormat="false" ht="33.75" hidden="false" customHeight="true" outlineLevel="0" collapsed="false">
      <c r="A9" s="3" t="s">
        <v>5</v>
      </c>
      <c r="B9" s="3" t="s">
        <v>41</v>
      </c>
      <c r="C9" s="3" t="s">
        <v>42</v>
      </c>
      <c r="D9" s="3" t="s">
        <v>43</v>
      </c>
      <c r="E9" s="3" t="s">
        <v>44</v>
      </c>
      <c r="F9" s="3" t="s">
        <v>29</v>
      </c>
      <c r="G9" s="3" t="s">
        <v>30</v>
      </c>
      <c r="H9" s="3" t="s">
        <v>31</v>
      </c>
      <c r="I9" s="3" t="s">
        <v>32</v>
      </c>
      <c r="J9" s="3" t="s">
        <v>33</v>
      </c>
    </row>
    <row r="10" customFormat="false" ht="15" hidden="false" customHeight="false" outlineLevel="0" collapsed="false">
      <c r="A10" s="4" t="s">
        <v>11</v>
      </c>
      <c r="B10" s="12" t="n">
        <v>89</v>
      </c>
      <c r="C10" s="12" t="n">
        <v>100</v>
      </c>
      <c r="D10" s="12" t="n">
        <v>95</v>
      </c>
      <c r="E10" s="12" t="n">
        <v>92</v>
      </c>
      <c r="F10" s="13" t="n">
        <f aca="false">B10</f>
        <v>89</v>
      </c>
      <c r="G10" s="13" t="n">
        <f aca="false">LOOKUP(9.99E+307,B10:E10)</f>
        <v>92</v>
      </c>
      <c r="H10" s="14" t="n">
        <f aca="false">G10-F10</f>
        <v>3</v>
      </c>
      <c r="I10" s="15" t="n">
        <f aca="false">AVERAGE(B10:E10)</f>
        <v>94</v>
      </c>
      <c r="J10" s="13" t="n">
        <f aca="false">MAX(B10:E10)</f>
        <v>100</v>
      </c>
    </row>
    <row r="11" customFormat="false" ht="15" hidden="false" customHeight="false" outlineLevel="0" collapsed="false">
      <c r="A11" s="4" t="s">
        <v>12</v>
      </c>
      <c r="B11" s="12" t="n">
        <v>92</v>
      </c>
      <c r="C11" s="12" t="n">
        <v>84</v>
      </c>
      <c r="D11" s="12" t="n">
        <v>95</v>
      </c>
      <c r="E11" s="12" t="n">
        <v>95</v>
      </c>
      <c r="F11" s="13" t="n">
        <f aca="false">B11</f>
        <v>92</v>
      </c>
      <c r="G11" s="13" t="n">
        <f aca="false">LOOKUP(9.99E+307,B11:E11)</f>
        <v>95</v>
      </c>
      <c r="H11" s="14" t="n">
        <f aca="false">G11-F11</f>
        <v>3</v>
      </c>
      <c r="I11" s="15" t="n">
        <f aca="false">AVERAGE(B11:E11)</f>
        <v>91.5</v>
      </c>
      <c r="J11" s="13" t="n">
        <f aca="false">MAX(B11:E11)</f>
        <v>95</v>
      </c>
    </row>
    <row r="12" customFormat="false" ht="15" hidden="false" customHeight="false" outlineLevel="0" collapsed="false">
      <c r="A12" s="4" t="s">
        <v>13</v>
      </c>
      <c r="B12" s="12" t="n">
        <v>94</v>
      </c>
      <c r="C12" s="12" t="n">
        <v>77</v>
      </c>
      <c r="D12" s="12" t="n">
        <v>89</v>
      </c>
      <c r="E12" s="12" t="n">
        <v>74</v>
      </c>
      <c r="F12" s="13" t="n">
        <f aca="false">B12</f>
        <v>94</v>
      </c>
      <c r="G12" s="13" t="n">
        <f aca="false">LOOKUP(9.99E+307,B12:E12)</f>
        <v>74</v>
      </c>
      <c r="H12" s="14" t="n">
        <f aca="false">G12-F12</f>
        <v>-20</v>
      </c>
      <c r="I12" s="15" t="n">
        <f aca="false">AVERAGE(B12:E12)</f>
        <v>83.5</v>
      </c>
      <c r="J12" s="13" t="n">
        <f aca="false">MAX(B12:E12)</f>
        <v>94</v>
      </c>
    </row>
    <row r="13" customFormat="false" ht="15" hidden="false" customHeight="false" outlineLevel="0" collapsed="false">
      <c r="A13" s="4" t="s">
        <v>14</v>
      </c>
      <c r="B13" s="12" t="n">
        <v>69</v>
      </c>
      <c r="C13" s="12" t="n">
        <v>70</v>
      </c>
      <c r="D13" s="12" t="n">
        <v>89</v>
      </c>
      <c r="E13" s="12" t="n">
        <v>85</v>
      </c>
      <c r="F13" s="13" t="n">
        <f aca="false">B13</f>
        <v>69</v>
      </c>
      <c r="G13" s="13" t="n">
        <f aca="false">LOOKUP(9.99E+307,B13:E13)</f>
        <v>85</v>
      </c>
      <c r="H13" s="14" t="n">
        <f aca="false">G13-F13</f>
        <v>16</v>
      </c>
      <c r="I13" s="15" t="n">
        <f aca="false">AVERAGE(B13:E13)</f>
        <v>78.25</v>
      </c>
      <c r="J13" s="13" t="n">
        <f aca="false">MAX(B13:E13)</f>
        <v>89</v>
      </c>
    </row>
    <row r="14" customFormat="false" ht="15" hidden="false" customHeight="false" outlineLevel="0" collapsed="false">
      <c r="A14" s="8" t="s">
        <v>15</v>
      </c>
      <c r="B14" s="16" t="n">
        <f aca="false">AVERAGE(B10:B13)</f>
        <v>86</v>
      </c>
      <c r="C14" s="16" t="n">
        <f aca="false">AVERAGE(C10:C13)</f>
        <v>82.75</v>
      </c>
      <c r="D14" s="16" t="n">
        <f aca="false">AVERAGE(D10:D13)</f>
        <v>92</v>
      </c>
      <c r="E14" s="16" t="n">
        <f aca="false">AVERAGE(E10:E13)</f>
        <v>86.5</v>
      </c>
      <c r="F14" s="16" t="n">
        <f aca="false">B14</f>
        <v>86</v>
      </c>
      <c r="G14" s="16" t="n">
        <f aca="false">E14</f>
        <v>86.5</v>
      </c>
      <c r="H14" s="10" t="n">
        <f aca="false">G14-F14</f>
        <v>0.5</v>
      </c>
      <c r="I14" s="16" t="n">
        <f aca="false">AVERAGE(B10:E13)</f>
        <v>86.8125</v>
      </c>
      <c r="J14" s="16" t="n">
        <f aca="false">MAX(B14:E14)</f>
        <v>92</v>
      </c>
    </row>
    <row r="15" customFormat="false" ht="15" hidden="false" customHeight="false" outlineLevel="0" collapsed="false">
      <c r="A15" s="11" t="s">
        <v>34</v>
      </c>
    </row>
  </sheetData>
  <mergeCells count="5">
    <mergeCell ref="A3:J3"/>
    <mergeCell ref="A4:J4"/>
    <mergeCell ref="A5:J5"/>
    <mergeCell ref="A6:J6"/>
    <mergeCell ref="A7:J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7" min="2" style="0" width="13"/>
  </cols>
  <sheetData>
    <row r="1" customFormat="false" ht="19.4" hidden="false" customHeight="false" outlineLevel="0" collapsed="false">
      <c r="A1" s="1" t="s">
        <v>45</v>
      </c>
    </row>
    <row r="3" customFormat="false" ht="18" hidden="false" customHeight="true" outlineLevel="0" collapsed="false">
      <c r="A3" s="2" t="s">
        <v>46</v>
      </c>
      <c r="B3" s="2"/>
      <c r="C3" s="2"/>
      <c r="D3" s="2"/>
      <c r="E3" s="2"/>
      <c r="F3" s="2"/>
      <c r="G3" s="2"/>
      <c r="H3" s="2"/>
    </row>
    <row r="4" customFormat="false" ht="18" hidden="false" customHeight="true" outlineLevel="0" collapsed="false">
      <c r="A4" s="2" t="s">
        <v>47</v>
      </c>
      <c r="B4" s="2"/>
      <c r="C4" s="2"/>
      <c r="D4" s="2"/>
      <c r="E4" s="2"/>
      <c r="F4" s="2"/>
      <c r="G4" s="2"/>
      <c r="H4" s="2"/>
    </row>
    <row r="5" customFormat="false" ht="36" hidden="false" customHeight="true" outlineLevel="0" collapsed="false">
      <c r="A5" s="2" t="s">
        <v>48</v>
      </c>
      <c r="B5" s="2"/>
      <c r="C5" s="2"/>
      <c r="D5" s="2"/>
      <c r="E5" s="2"/>
      <c r="F5" s="2"/>
      <c r="G5" s="2"/>
      <c r="H5" s="2"/>
    </row>
    <row r="7" customFormat="false" ht="33.75" hidden="false" customHeight="true" outlineLevel="0" collapsed="false">
      <c r="A7" s="3" t="s">
        <v>5</v>
      </c>
      <c r="B7" s="3" t="s">
        <v>49</v>
      </c>
      <c r="C7" s="3" t="s">
        <v>32</v>
      </c>
    </row>
    <row r="8" customFormat="false" ht="15" hidden="false" customHeight="false" outlineLevel="0" collapsed="false">
      <c r="A8" s="4" t="s">
        <v>11</v>
      </c>
      <c r="B8" s="12" t="n">
        <v>100</v>
      </c>
      <c r="C8" s="15" t="n">
        <f aca="false">AVERAGE(B8:B8)</f>
        <v>100</v>
      </c>
    </row>
    <row r="9" customFormat="false" ht="15" hidden="false" customHeight="false" outlineLevel="0" collapsed="false">
      <c r="A9" s="4" t="s">
        <v>12</v>
      </c>
      <c r="B9" s="12" t="n">
        <v>100</v>
      </c>
      <c r="C9" s="15" t="n">
        <f aca="false">AVERAGE(B9:B9)</f>
        <v>100</v>
      </c>
    </row>
    <row r="10" customFormat="false" ht="15" hidden="false" customHeight="false" outlineLevel="0" collapsed="false">
      <c r="A10" s="4" t="s">
        <v>13</v>
      </c>
      <c r="B10" s="12" t="n">
        <v>87</v>
      </c>
      <c r="C10" s="15" t="n">
        <f aca="false">AVERAGE(B10:B10)</f>
        <v>87</v>
      </c>
    </row>
    <row r="11" customFormat="false" ht="15" hidden="false" customHeight="false" outlineLevel="0" collapsed="false">
      <c r="A11" s="4" t="s">
        <v>14</v>
      </c>
      <c r="B11" s="12" t="n">
        <v>82</v>
      </c>
      <c r="C11" s="15" t="n">
        <f aca="false">AVERAGE(B11:B11)</f>
        <v>82</v>
      </c>
    </row>
    <row r="12" customFormat="false" ht="15" hidden="false" customHeight="false" outlineLevel="0" collapsed="false">
      <c r="A12" s="8" t="s">
        <v>15</v>
      </c>
      <c r="B12" s="16" t="n">
        <f aca="false">AVERAGE(B8:B11)</f>
        <v>92.25</v>
      </c>
      <c r="C12" s="16" t="n">
        <f aca="false">AVERAGE(B8:B11)</f>
        <v>92.25</v>
      </c>
    </row>
    <row r="13" customFormat="false" ht="15" hidden="false" customHeight="false" outlineLevel="0" collapsed="false">
      <c r="A13" s="11" t="s">
        <v>34</v>
      </c>
    </row>
  </sheetData>
  <mergeCells count="3">
    <mergeCell ref="A3:H3"/>
    <mergeCell ref="A4:H4"/>
    <mergeCell ref="A5:H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2026-10-28T04:58:36Z</dcterms:created>
  <dc:creator>openpyxl</dc:creator>
  <dc:description/>
  <dc:language>en-US</dc:language>
  <cp:lastModifiedBy/>
  <dcterms:modified xsi:type="dcterms:W3CDTF">2026-10-28T04:58:39Z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