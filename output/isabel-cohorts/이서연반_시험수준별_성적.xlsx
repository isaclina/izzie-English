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요약" sheetId="2" state="visible" r:id="rId4"/>
    <sheet name="고1 모의고사" sheetId="3" state="visible" r:id="rId5"/>
    <sheet name="고2 모의고사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<sst xmlns="http://schemas.openxmlformats.org/spreadsheetml/2006/main" count="114" uniqueCount="45">
  <si>
    <r>
      <rPr>
        <b val="true"/>
        <sz val="14"/>
        <rFont val="WenQuanYi Zen Hei"/>
        <family val="2"/>
      </rPr>
      <t xml:space="preserve">이서연 반 시험 수준별 성적 변화 </t>
    </r>
    <r>
      <rPr>
        <b val="true"/>
        <sz val="14"/>
        <rFont val="Arial"/>
        <family val="0"/>
        <charset val="1"/>
      </rPr>
      <t xml:space="preserve">(2025–2026)</t>
    </r>
  </si>
  <si>
    <r>
      <rPr>
        <sz val="9"/>
        <color rgb="FF666666"/>
        <rFont val="WenQuanYi Zen Hei"/>
        <family val="2"/>
      </rPr>
      <t xml:space="preserve">대상</t>
    </r>
    <r>
      <rPr>
        <sz val="9"/>
        <color rgb="FF666666"/>
        <rFont val="Arial"/>
        <family val="0"/>
        <charset val="1"/>
      </rPr>
      <t xml:space="preserve">: 2025 1M-A</t>
    </r>
    <r>
      <rPr>
        <sz val="9"/>
        <color rgb="FF666666"/>
        <rFont val="WenQuanYi Zen Hei"/>
        <family val="2"/>
      </rPr>
      <t xml:space="preserve">에서 </t>
    </r>
    <r>
      <rPr>
        <sz val="9"/>
        <color rgb="FF666666"/>
        <rFont val="Arial"/>
        <family val="0"/>
        <charset val="1"/>
      </rPr>
      <t xml:space="preserve">2026 2M-A</t>
    </r>
    <r>
      <rPr>
        <sz val="9"/>
        <color rgb="FF666666"/>
        <rFont val="WenQuanYi Zen Hei"/>
        <family val="2"/>
      </rPr>
      <t xml:space="preserve">까지 다닌 </t>
    </r>
    <r>
      <rPr>
        <sz val="9"/>
        <color rgb="FF666666"/>
        <rFont val="Arial"/>
        <family val="0"/>
        <charset val="1"/>
      </rPr>
      <t xml:space="preserve">5</t>
    </r>
    <r>
      <rPr>
        <sz val="9"/>
        <color rgb="FF666666"/>
        <rFont val="WenQuanYi Zen Hei"/>
        <family val="2"/>
      </rPr>
      <t xml:space="preserve">명 </t>
    </r>
    <r>
      <rPr>
        <sz val="9"/>
        <color rgb="FF666666"/>
        <rFont val="Arial"/>
        <family val="0"/>
        <charset val="1"/>
      </rPr>
      <t xml:space="preserve">(</t>
    </r>
    <r>
      <rPr>
        <sz val="9"/>
        <color rgb="FF666666"/>
        <rFont val="WenQuanYi Zen Hei"/>
        <family val="2"/>
      </rPr>
      <t xml:space="preserve">김지수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김채율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이서연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황재성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서예준</t>
    </r>
    <r>
      <rPr>
        <sz val="9"/>
        <color rgb="FF666666"/>
        <rFont val="Arial"/>
        <family val="0"/>
        <charset val="1"/>
      </rPr>
      <t xml:space="preserve">) · Metta </t>
    </r>
    <r>
      <rPr>
        <sz val="9"/>
        <color rgb="FF666666"/>
        <rFont val="WenQuanYi Zen Hei"/>
        <family val="2"/>
      </rPr>
      <t xml:space="preserve">영어 전문학원 성적표 사진에서 옮김</t>
    </r>
  </si>
  <si>
    <t xml:space="preserve">시트 구성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</si>
  <si>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요약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시험 수준별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영역별 반 평균의 첫 시험 → 마지막 시험 변화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</si>
  <si>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1(2025) 1</t>
    </r>
    <r>
      <rPr>
        <sz val="11"/>
        <rFont val="WenQuanYi Zen Hei"/>
        <family val="2"/>
      </rPr>
      <t xml:space="preserve">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1·2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</si>
  <si>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중</t>
    </r>
    <r>
      <rPr>
        <sz val="11"/>
        <rFont val="Arial"/>
        <family val="0"/>
        <charset val="1"/>
      </rPr>
      <t xml:space="preserve">2(2026) 3</t>
    </r>
    <r>
      <rPr>
        <sz val="11"/>
        <rFont val="WenQuanYi Zen Hei"/>
        <family val="2"/>
      </rPr>
      <t xml:space="preserve">차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총점 표와 그래프</t>
    </r>
  </si>
  <si>
    <t xml:space="preserve">읽는 법</t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</si>
  <si>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듣기 </t>
    </r>
    <r>
      <rPr>
        <sz val="11"/>
        <rFont val="Arial"/>
        <family val="0"/>
        <charset val="1"/>
      </rPr>
      <t xml:space="preserve">17</t>
    </r>
    <r>
      <rPr>
        <sz val="11"/>
        <rFont val="WenQuanYi Zen Hei"/>
        <family val="2"/>
      </rPr>
      <t xml:space="preserve">문항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독해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문항 기준 맞은 개수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총점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점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</si>
  <si>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파란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성적표에서 옮긴 값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고치면 계산과 그래프가 바뀜</t>
    </r>
    <r>
      <rPr>
        <sz val="11"/>
        <rFont val="Arial"/>
        <family val="0"/>
        <charset val="1"/>
      </rPr>
      <t xml:space="preserve">) · </t>
    </r>
    <r>
      <rPr>
        <sz val="11"/>
        <rFont val="WenQuanYi Zen Hei"/>
        <family val="2"/>
      </rPr>
      <t xml:space="preserve">검은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계산식 </t>
    </r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초록 글씨 </t>
    </r>
    <r>
      <rPr>
        <sz val="11"/>
        <rFont val="Arial"/>
        <family val="0"/>
        <charset val="1"/>
      </rPr>
      <t xml:space="preserve">= </t>
    </r>
    <r>
      <rPr>
        <sz val="11"/>
        <rFont val="WenQuanYi Zen Hei"/>
        <family val="2"/>
      </rPr>
      <t xml:space="preserve">다른 시트 값</t>
    </r>
  </si>
  <si>
    <t xml:space="preserve">참고</t>
  </si>
  <si>
    <r>
      <rPr>
        <sz val="11"/>
        <rFont val="Arial"/>
        <family val="0"/>
        <charset val="1"/>
      </rPr>
      <t xml:space="preserve">· 2025</t>
    </r>
    <r>
      <rPr>
        <sz val="11"/>
        <rFont val="WenQuanYi Zen Hei"/>
        <family val="2"/>
      </rPr>
      <t xml:space="preserve">년 중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은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차 성적만 받았습니다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모의고사는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중</t>
    </r>
    <r>
      <rPr>
        <sz val="11"/>
        <rFont val="Arial"/>
        <family val="0"/>
        <charset val="1"/>
      </rPr>
      <t xml:space="preserve">2 3</t>
    </r>
    <r>
      <rPr>
        <sz val="11"/>
        <rFont val="WenQuanYi Zen Hei"/>
        <family val="2"/>
      </rPr>
      <t xml:space="preserve">차 한 번뿐이라 그래프에 점 하나만 찍힙니다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</si>
  <si>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고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모의고사는 아직 보지 않아 시트가 없습니다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</si>
  <si>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· </t>
    </r>
    <r>
      <rPr>
        <sz val="11"/>
        <rFont val="WenQuanYi Zen Hei"/>
        <family val="2"/>
      </rPr>
      <t xml:space="preserve">이시원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한재승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합류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김은혜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구승준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김가민</t>
    </r>
    <r>
      <rPr>
        <sz val="11"/>
        <rFont val="Arial"/>
        <family val="0"/>
        <charset val="1"/>
      </rPr>
      <t xml:space="preserve">(2026 </t>
    </r>
    <r>
      <rPr>
        <sz val="11"/>
        <rFont val="WenQuanYi Zen Hei"/>
        <family val="2"/>
      </rPr>
      <t xml:space="preserve">미등록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은 제외했습니다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</si>
  <si>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시험 수준별 반 평균 변화</t>
    </r>
  </si>
  <si>
    <r>
      <rPr>
        <sz val="9"/>
        <color rgb="FF666666"/>
        <rFont val="WenQuanYi Zen Hei"/>
        <family val="2"/>
      </rPr>
      <t xml:space="preserve">초록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각 시트의 반 평균 행에서 가져온 값</t>
    </r>
  </si>
  <si>
    <t xml:space="preserve">시험 수준</t>
  </si>
  <si>
    <t xml:space="preserve">영역</t>
  </si>
  <si>
    <t xml:space="preserve">첫 시험 평균</t>
  </si>
  <si>
    <t xml:space="preserve">마지막 시험 평균</t>
  </si>
  <si>
    <t xml:space="preserve">변화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</si>
  <si>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</si>
  <si>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총점</t>
  </si>
  <si>
    <t xml:space="preserve">듣기</t>
  </si>
  <si>
    <t xml:space="preserve">독해</t>
  </si>
  <si>
    <r>
      <rPr>
        <b val="true"/>
        <sz val="11"/>
        <rFont val="WenQuanYi Zen Hei"/>
        <family val="2"/>
      </rPr>
      <t xml:space="preserve">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</si>
  <si>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1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</si>
  <si>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1(2025) 1</t>
    </r>
    <r>
      <rPr>
        <sz val="9"/>
        <color rgb="FF666666"/>
        <rFont val="WenQuanYi Zen Hei"/>
        <family val="2"/>
      </rPr>
      <t xml:space="preserve">차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1·2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</si>
  <si>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총점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점 </t>
    </r>
    <r>
      <rPr>
        <b val="true"/>
        <sz val="11"/>
        <rFont val="Arial"/>
        <family val="0"/>
        <charset val="1"/>
      </rPr>
      <t xml:space="preserve">/ 100)</t>
    </r>
  </si>
  <si>
    <t xml:space="preserve">학생</t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</si>
  <si>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1 1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</si>
  <si>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2 1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</si>
  <si>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2 2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1 </t>
    </r>
    <r>
      <rPr>
        <b val="true"/>
        <sz val="11"/>
        <rFont val="WenQuanYi Zen Hei"/>
        <family val="2"/>
      </rPr>
      <t xml:space="preserve">모의고사</t>
    </r>
  </si>
  <si>
    <t xml:space="preserve">첫 시험</t>
  </si>
  <si>
    <t xml:space="preserve">마지막 시험</t>
  </si>
  <si>
    <t xml:space="preserve">김지수</t>
  </si>
  <si>
    <t xml:space="preserve">김채율</t>
  </si>
  <si>
    <t xml:space="preserve">이서연</t>
  </si>
  <si>
    <t xml:space="preserve">황재성</t>
  </si>
  <si>
    <t xml:space="preserve">서예준</t>
  </si>
  <si>
    <t xml:space="preserve">반 평균</t>
  </si>
  <si>
    <r>
      <rPr>
        <b val="true"/>
        <sz val="11"/>
        <rFont val="WenQuanYi Zen Hei"/>
        <family val="2"/>
      </rPr>
      <t xml:space="preserve">듣기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17)</t>
    </r>
  </si>
  <si>
    <r>
      <rPr>
        <b val="true"/>
        <sz val="11"/>
        <rFont val="WenQuanYi Zen Hei"/>
        <family val="2"/>
      </rPr>
      <t xml:space="preserve">독해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맞은 개수 </t>
    </r>
    <r>
      <rPr>
        <b val="true"/>
        <sz val="11"/>
        <rFont val="Arial"/>
        <family val="0"/>
        <charset val="1"/>
      </rPr>
      <t xml:space="preserve">/ 28)</t>
    </r>
  </si>
  <si>
    <r>
      <rPr>
        <b val="true"/>
        <sz val="14"/>
        <rFont val="WenQuanYi Zen Hei"/>
        <family val="2"/>
      </rPr>
      <t xml:space="preserve">이서연 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고</t>
    </r>
    <r>
      <rPr>
        <b val="true"/>
        <sz val="14"/>
        <rFont val="Arial"/>
        <family val="0"/>
        <charset val="1"/>
      </rPr>
      <t xml:space="preserve">2 </t>
    </r>
    <r>
      <rPr>
        <b val="true"/>
        <sz val="14"/>
        <rFont val="WenQuanYi Zen Hei"/>
        <family val="2"/>
      </rPr>
      <t xml:space="preserve">모의고사 성적 변화</t>
    </r>
  </si>
  <si>
    <r>
      <rPr>
        <sz val="9"/>
        <color rgb="FF666666"/>
        <rFont val="WenQuanYi Zen Hei"/>
        <family val="2"/>
      </rPr>
      <t xml:space="preserve">중</t>
    </r>
    <r>
      <rPr>
        <sz val="9"/>
        <color rgb="FF666666"/>
        <rFont val="Arial"/>
        <family val="0"/>
        <charset val="1"/>
      </rPr>
      <t xml:space="preserve">2(2026) 3</t>
    </r>
    <r>
      <rPr>
        <sz val="9"/>
        <color rgb="FF666666"/>
        <rFont val="WenQuanYi Zen Hei"/>
        <family val="2"/>
      </rPr>
      <t xml:space="preserve">차 </t>
    </r>
    <r>
      <rPr>
        <sz val="9"/>
        <color rgb="FF666666"/>
        <rFont val="Arial"/>
        <family val="0"/>
        <charset val="1"/>
      </rPr>
      <t xml:space="preserve">· </t>
    </r>
    <r>
      <rPr>
        <sz val="9"/>
        <color rgb="FF666666"/>
        <rFont val="WenQuanYi Zen Hei"/>
        <family val="2"/>
      </rPr>
      <t xml:space="preserve">파란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성적표 입력값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검은 글씨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계산식</t>
    </r>
    <r>
      <rPr>
        <sz val="9"/>
        <color rgb="FF666666"/>
        <rFont val="Arial"/>
        <family val="0"/>
        <charset val="1"/>
      </rPr>
      <t xml:space="preserve">, </t>
    </r>
    <r>
      <rPr>
        <sz val="9"/>
        <color rgb="FF666666"/>
        <rFont val="WenQuanYi Zen Hei"/>
        <family val="2"/>
      </rPr>
      <t xml:space="preserve">빈칸 </t>
    </r>
    <r>
      <rPr>
        <sz val="9"/>
        <color rgb="FF666666"/>
        <rFont val="Arial"/>
        <family val="0"/>
        <charset val="1"/>
      </rPr>
      <t xml:space="preserve">= </t>
    </r>
    <r>
      <rPr>
        <sz val="9"/>
        <color rgb="FF666666"/>
        <rFont val="WenQuanYi Zen Hei"/>
        <family val="2"/>
      </rPr>
      <t xml:space="preserve">기록 없음</t>
    </r>
    <r>
      <rPr>
        <sz val="9"/>
        <color rgb="FF666666"/>
        <rFont val="Arial"/>
        <family val="0"/>
        <charset val="1"/>
      </rPr>
      <t xml:space="preserve">/</t>
    </r>
    <r>
      <rPr>
        <sz val="9"/>
        <color rgb="FF666666"/>
        <rFont val="WenQuanYi Zen Hei"/>
        <family val="2"/>
      </rPr>
      <t xml:space="preserve">미응시</t>
    </r>
  </si>
  <si>
    <r>
      <rPr>
        <b val="true"/>
        <sz val="11"/>
        <rFont val="WenQuanYi Zen Hei"/>
        <family val="2"/>
      </rPr>
      <t xml:space="preserve">중</t>
    </r>
    <r>
      <rPr>
        <b val="true"/>
        <sz val="11"/>
        <rFont val="Arial"/>
        <family val="0"/>
        <charset val="1"/>
      </rPr>
      <t xml:space="preserve">2 3</t>
    </r>
    <r>
      <rPr>
        <b val="true"/>
        <sz val="11"/>
        <rFont val="WenQuanYi Zen Hei"/>
        <family val="2"/>
      </rPr>
      <t xml:space="preserve">차
고</t>
    </r>
    <r>
      <rPr>
        <b val="true"/>
        <sz val="11"/>
        <rFont val="Arial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모의고사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</si>
</sst>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\+0.0;\-0.0;0.0"/>
    <numFmt numFmtId="167" formatCode="\+0;\-0;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9"/>
      <color rgb="FF666666"/>
      <name val="WenQuanYi Zen Hei"/>
      <family val="2"/>
    </font>
    <font>
      <sz val="9"/>
      <color rgb="FF666666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7E4"/>
        <bgColor rgb="FFD9D9D9"/>
      </patternFill>
    </fill>
    <fill>
      <patternFill patternType="solid">
        <fgColor rgb="FFF2F2F2"/>
        <bgColor rgb="FFDDE7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4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모의고사'!$B$5:$D$5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모의고사'!$B$6:$D$6</c:f>
              <c:numCache>
                <c:formatCode>General</c:formatCode>
                <c:ptCount val="3"/>
                <c:pt idx="0">
                  <c:v>63</c:v>
                </c:pt>
                <c:pt idx="1">
                  <c:v>66</c:v>
                </c:pt>
                <c:pt idx="2">
                  <c:v>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모의고사'!$B$5:$D$5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모의고사'!$B$7:$D$7</c:f>
              <c:numCache>
                <c:formatCode>General</c:formatCode>
                <c:ptCount val="3"/>
                <c:pt idx="0">
                  <c:v>59</c:v>
                </c:pt>
                <c:pt idx="1">
                  <c:v>87</c:v>
                </c:pt>
                <c:pt idx="2">
                  <c:v>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모의고사'!$B$5:$D$5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모의고사'!$B$8:$D$8</c:f>
              <c:numCache>
                <c:formatCode>General</c:formatCode>
                <c:ptCount val="3"/>
                <c:pt idx="0">
                  <c:v>88</c:v>
                </c:pt>
                <c:pt idx="1">
                  <c:v>87</c:v>
                </c:pt>
                <c:pt idx="2">
                  <c:v>100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모의고사'!$B$5:$D$5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모의고사'!$B$9:$D$9</c:f>
              <c:numCache>
                <c:formatCode>General</c:formatCode>
                <c:ptCount val="3"/>
                <c:pt idx="0">
                  <c:v>67</c:v>
                </c:pt>
                <c:pt idx="1">
                  <c:v>88</c:v>
                </c:pt>
                <c:pt idx="2">
                  <c:v>74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모의고사'!$B$5:$D$5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모의고사'!$B$10:$D$10</c:f>
              <c:numCache>
                <c:formatCode>General</c:formatCode>
                <c:ptCount val="3"/>
                <c:pt idx="0">
                  <c:v>51</c:v>
                </c:pt>
                <c:pt idx="1">
                  <c:v>73</c:v>
                </c:pt>
                <c:pt idx="2">
                  <c:v>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8861202"/>
        <c:axId val="28967038"/>
      </c:lineChart>
      <c:catAx>
        <c:axId val="588612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67038"/>
        <c:crosses val="autoZero"/>
        <c:auto val="1"/>
        <c:lblAlgn val="ctr"/>
        <c:lblOffset val="100"/>
        <c:noMultiLvlLbl val="0"/>
      </c:catAx>
      <c:valAx>
        <c:axId val="28967038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61202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모의고사'!A15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모의고사'!$B$14:$D$14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모의고사'!$B$15:$D$15</c:f>
              <c:numCache>
                <c:formatCode>General</c:formatCode>
                <c:ptCount val="3"/>
                <c:pt idx="0">
                  <c:v>14</c:v>
                </c:pt>
                <c:pt idx="1">
                  <c:v>15</c:v>
                </c:pt>
                <c:pt idx="2">
                  <c:v>16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모의고사'!A16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모의고사'!$B$14:$D$14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모의고사'!$B$16:$D$16</c:f>
              <c:numCache>
                <c:formatCode>General</c:formatCode>
                <c:ptCount val="3"/>
                <c:pt idx="0">
                  <c:v>17</c:v>
                </c:pt>
                <c:pt idx="1">
                  <c:v>17</c:v>
                </c:pt>
                <c:pt idx="2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모의고사'!A17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모의고사'!$B$14:$D$14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모의고사'!$B$17:$D$17</c:f>
              <c:numCache>
                <c:formatCode>General</c:formatCode>
                <c:ptCount val="3"/>
                <c:pt idx="0">
                  <c:v>17</c:v>
                </c:pt>
                <c:pt idx="1">
                  <c:v>17</c:v>
                </c:pt>
                <c:pt idx="2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모의고사'!A18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모의고사'!$B$14:$D$14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모의고사'!$B$18:$D$18</c:f>
              <c:numCache>
                <c:formatCode>General</c:formatCode>
                <c:ptCount val="3"/>
                <c:pt idx="0">
                  <c:v>15</c:v>
                </c:pt>
                <c:pt idx="1">
                  <c:v>17</c:v>
                </c:pt>
                <c:pt idx="2">
                  <c:v>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모의고사'!A19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모의고사'!$B$14:$D$14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모의고사'!$B$19:$D$19</c:f>
              <c:numCache>
                <c:formatCode>General</c:formatCode>
                <c:ptCount val="3"/>
                <c:pt idx="0">
                  <c:v>16</c:v>
                </c:pt>
                <c:pt idx="1">
                  <c:v>17</c:v>
                </c:pt>
                <c:pt idx="2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213278"/>
        <c:axId val="48075547"/>
      </c:lineChart>
      <c:catAx>
        <c:axId val="882132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75547"/>
        <c:crosses val="autoZero"/>
        <c:auto val="1"/>
        <c:lblAlgn val="ctr"/>
        <c:lblOffset val="100"/>
        <c:noMultiLvlLbl val="0"/>
      </c:catAx>
      <c:valAx>
        <c:axId val="48075547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213278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고1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'고1 모의고사'!A24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모의고사'!$B$23:$D$23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모의고사'!$B$24:$D$24</c:f>
              <c:numCache>
                <c:formatCode>General</c:formatCode>
                <c:ptCount val="3"/>
                <c:pt idx="0">
                  <c:v>16</c:v>
                </c:pt>
                <c:pt idx="1">
                  <c:v>16</c:v>
                </c:pt>
                <c:pt idx="2">
                  <c:v>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'고1 모의고사'!A25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모의고사'!$B$23:$D$23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모의고사'!$B$25:$D$25</c:f>
              <c:numCache>
                <c:formatCode>General</c:formatCode>
                <c:ptCount val="3"/>
                <c:pt idx="0">
                  <c:v>11</c:v>
                </c:pt>
                <c:pt idx="1">
                  <c:v>23</c:v>
                </c:pt>
                <c:pt idx="2">
                  <c:v>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'고1 모의고사'!A26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모의고사'!$B$23:$D$23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모의고사'!$B$26:$D$26</c:f>
              <c:numCache>
                <c:formatCode>General</c:formatCode>
                <c:ptCount val="3"/>
                <c:pt idx="0">
                  <c:v>23</c:v>
                </c:pt>
                <c:pt idx="1">
                  <c:v>23</c:v>
                </c:pt>
                <c:pt idx="2">
                  <c:v>28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'고1 모의고사'!A27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모의고사'!$B$23:$D$23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모의고사'!$B$27:$D$27</c:f>
              <c:numCache>
                <c:formatCode>General</c:formatCode>
                <c:ptCount val="3"/>
                <c:pt idx="0">
                  <c:v>17</c:v>
                </c:pt>
                <c:pt idx="1">
                  <c:v>24</c:v>
                </c:pt>
                <c:pt idx="2">
                  <c:v>20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'고1 모의고사'!A28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'고1 모의고사'!$B$23:$D$23</c:f>
              <c:strCache>
                <c:ptCount val="3"/>
                <c:pt idx="0">
                  <c:v>중1 1차
고1 모의고사</c:v>
                </c:pt>
                <c:pt idx="1">
                  <c:v>중2 1차
고1 모의고사</c:v>
                </c:pt>
                <c:pt idx="2">
                  <c:v>중2 2차
고1 모의고사</c:v>
                </c:pt>
              </c:strCache>
            </c:strRef>
          </c:cat>
          <c:val>
            <c:numRef>
              <c:f>'고1 모의고사'!$B$28:$D$28</c:f>
              <c:numCache>
                <c:formatCode>General</c:formatCode>
                <c:ptCount val="3"/>
                <c:pt idx="0">
                  <c:v>8</c:v>
                </c:pt>
                <c:pt idx="1">
                  <c:v>18</c:v>
                </c:pt>
                <c:pt idx="2">
                  <c:v>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356650"/>
        <c:axId val="30514252"/>
      </c:lineChart>
      <c:catAx>
        <c:axId val="443566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14252"/>
        <c:crosses val="autoZero"/>
        <c:auto val="1"/>
        <c:lblAlgn val="ctr"/>
        <c:lblOffset val="100"/>
        <c:noMultiLvlLbl val="0"/>
      </c:catAx>
      <c:valAx>
        <c:axId val="30514252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5665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총점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모의고사'!A6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모의고사'!$B$6</c:f>
              <c:numCache>
                <c:formatCode>General</c:formatCode>
                <c:ptCount val="1"/>
                <c:pt idx="0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모의고사'!A7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모의고사'!$B$7</c:f>
              <c:numCache>
                <c:formatCode>General</c:formatCode>
                <c:ptCount val="1"/>
                <c:pt idx="0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모의고사'!A8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모의고사'!$B$8</c:f>
              <c:numCache>
                <c:formatCode>General</c:formatCode>
                <c:ptCount val="1"/>
                <c:pt idx="0">
                  <c:v>95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모의고사'!A9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모의고사'!$B$9</c:f>
              <c:numCache>
                <c:formatCode>General</c:formatCode>
                <c:ptCount val="1"/>
                <c:pt idx="0">
                  <c:v>82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모의고사'!A10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모의고사'!$B$5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모의고사'!$B$10</c:f>
              <c:numCache>
                <c:formatCode>General</c:formatCode>
                <c:ptCount val="1"/>
                <c:pt idx="0">
                  <c:v>80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67198"/>
        <c:axId val="27172684"/>
      </c:lineChart>
      <c:catAx>
        <c:axId val="80671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72684"/>
        <c:crosses val="autoZero"/>
        <c:auto val="1"/>
        <c:lblAlgn val="ctr"/>
        <c:lblOffset val="100"/>
        <c:noMultiLvlLbl val="0"/>
      </c:catAx>
      <c:valAx>
        <c:axId val="27172684"/>
        <c:scaling>
          <c:orientation val="minMax"/>
          <c:max val="10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점 / 100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6719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듣기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모의고사'!A15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모의고사'!$B$14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모의고사'!$B$15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모의고사'!A16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모의고사'!$B$14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모의고사'!$B$16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모의고사'!A17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모의고사'!$B$14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모의고사'!$B$17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모의고사'!A18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모의고사'!$B$14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모의고사'!$B$18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모의고사'!A19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모의고사'!$B$14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모의고사'!$B$19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178385"/>
        <c:axId val="97697882"/>
      </c:lineChart>
      <c:catAx>
        <c:axId val="841783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697882"/>
        <c:crosses val="autoZero"/>
        <c:auto val="1"/>
        <c:lblAlgn val="ctr"/>
        <c:lblOffset val="100"/>
        <c:noMultiLvlLbl val="0"/>
      </c:catAx>
      <c:valAx>
        <c:axId val="97697882"/>
        <c:scaling>
          <c:orientation val="minMax"/>
          <c:max val="17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17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178385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고2 모의고사 · 독해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'고2 모의고사'!A24</c:f>
              <c:strCache>
                <c:ptCount val="1"/>
                <c:pt idx="0">
                  <c:v>김지수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circle"/>
            <c:size val="7"/>
            <c:spPr>
              <a:solidFill>
                <a:srgbClr val="4a7eb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모의고사'!$B$23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모의고사'!$B$24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'고2 모의고사'!A25</c:f>
              <c:strCache>
                <c:ptCount val="1"/>
                <c:pt idx="0">
                  <c:v>김채율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circle"/>
            <c:size val="7"/>
            <c:spPr>
              <a:solidFill>
                <a:srgbClr val="be4b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모의고사'!$B$23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모의고사'!$B$25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'고2 모의고사'!A26</c:f>
              <c:strCache>
                <c:ptCount val="1"/>
                <c:pt idx="0">
                  <c:v>이서연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circle"/>
            <c:size val="7"/>
            <c:spPr>
              <a:solidFill>
                <a:srgbClr val="98b85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모의고사'!$B$23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모의고사'!$B$26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'고2 모의고사'!A27</c:f>
              <c:strCache>
                <c:ptCount val="1"/>
                <c:pt idx="0">
                  <c:v>황재성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circle"/>
            <c:size val="7"/>
            <c:spPr>
              <a:solidFill>
                <a:srgbClr val="7d5fa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모의고사'!$B$23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모의고사'!$B$27</c:f>
              <c:numCache>
                <c:formatCode>General</c:formatCode>
                <c:ptCount val="1"/>
                <c:pt idx="0">
                  <c:v>21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'고2 모의고사'!A28</c:f>
              <c:strCache>
                <c:ptCount val="1"/>
                <c:pt idx="0">
                  <c:v>서예준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circle"/>
            <c:size val="7"/>
            <c:spPr>
              <a:solidFill>
                <a:srgbClr val="46aac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'고2 모의고사'!$B$23</c:f>
              <c:strCache>
                <c:ptCount val="1"/>
                <c:pt idx="0">
                  <c:v>중2 3차
고2 모의고사</c:v>
                </c:pt>
              </c:strCache>
            </c:strRef>
          </c:cat>
          <c:val>
            <c:numRef>
              <c:f>'고2 모의고사'!$B$28</c:f>
              <c:numCache>
                <c:formatCode>General</c:formatCode>
                <c:ptCount val="1"/>
                <c:pt idx="0">
                  <c:v>20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7584721"/>
        <c:axId val="52242780"/>
      </c:lineChart>
      <c:catAx>
        <c:axId val="97584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42780"/>
        <c:crosses val="autoZero"/>
        <c:auto val="1"/>
        <c:lblAlgn val="ctr"/>
        <c:lblOffset val="100"/>
        <c:noMultiLvlLbl val="0"/>
      </c:catAx>
      <c:valAx>
        <c:axId val="52242780"/>
        <c:scaling>
          <c:orientation val="minMax"/>
          <c:max val="28"/>
          <c:min val="1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맞은 개수 / 28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58472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134640</xdr:rowOff>
    </xdr:from>
    <xdr:to>
      <xdr:col>17</xdr:col>
      <xdr:colOff>255960</xdr:colOff>
      <xdr:row>14</xdr:row>
      <xdr:rowOff>72360</xdr:rowOff>
    </xdr:to>
    <xdr:graphicFrame>
      <xdr:nvGraphicFramePr>
        <xdr:cNvPr id="0" name="Chart 1"/>
        <xdr:cNvGraphicFramePr/>
      </xdr:nvGraphicFramePr>
      <xdr:xfrm>
        <a:off x="681408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18</xdr:row>
      <xdr:rowOff>134640</xdr:rowOff>
    </xdr:from>
    <xdr:to>
      <xdr:col>17</xdr:col>
      <xdr:colOff>255960</xdr:colOff>
      <xdr:row>31</xdr:row>
      <xdr:rowOff>119520</xdr:rowOff>
    </xdr:to>
    <xdr:graphicFrame>
      <xdr:nvGraphicFramePr>
        <xdr:cNvPr id="1" name="Chart 2"/>
        <xdr:cNvGraphicFramePr/>
      </xdr:nvGraphicFramePr>
      <xdr:xfrm>
        <a:off x="681408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34</xdr:row>
      <xdr:rowOff>134640</xdr:rowOff>
    </xdr:from>
    <xdr:to>
      <xdr:col>17</xdr:col>
      <xdr:colOff>255960</xdr:colOff>
      <xdr:row>48</xdr:row>
      <xdr:rowOff>167040</xdr:rowOff>
    </xdr:to>
    <xdr:graphicFrame>
      <xdr:nvGraphicFramePr>
        <xdr:cNvPr id="2" name="Chart 3"/>
        <xdr:cNvGraphicFramePr/>
      </xdr:nvGraphicFramePr>
      <xdr:xfrm>
        <a:off x="681408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134640</xdr:rowOff>
    </xdr:from>
    <xdr:to>
      <xdr:col>15</xdr:col>
      <xdr:colOff>255960</xdr:colOff>
      <xdr:row>14</xdr:row>
      <xdr:rowOff>72360</xdr:rowOff>
    </xdr:to>
    <xdr:graphicFrame>
      <xdr:nvGraphicFramePr>
        <xdr:cNvPr id="3" name="Chart 1"/>
        <xdr:cNvGraphicFramePr/>
      </xdr:nvGraphicFramePr>
      <xdr:xfrm>
        <a:off x="5122440" y="5716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134640</xdr:rowOff>
    </xdr:from>
    <xdr:to>
      <xdr:col>15</xdr:col>
      <xdr:colOff>255960</xdr:colOff>
      <xdr:row>31</xdr:row>
      <xdr:rowOff>119520</xdr:rowOff>
    </xdr:to>
    <xdr:graphicFrame>
      <xdr:nvGraphicFramePr>
        <xdr:cNvPr id="4" name="Chart 2"/>
        <xdr:cNvGraphicFramePr/>
      </xdr:nvGraphicFramePr>
      <xdr:xfrm>
        <a:off x="5122440" y="409572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34</xdr:row>
      <xdr:rowOff>134640</xdr:rowOff>
    </xdr:from>
    <xdr:to>
      <xdr:col>15</xdr:col>
      <xdr:colOff>255960</xdr:colOff>
      <xdr:row>48</xdr:row>
      <xdr:rowOff>167040</xdr:rowOff>
    </xdr:to>
    <xdr:graphicFrame>
      <xdr:nvGraphicFramePr>
        <xdr:cNvPr id="5" name="Chart 3"/>
        <xdr:cNvGraphicFramePr/>
      </xdr:nvGraphicFramePr>
      <xdr:xfrm>
        <a:off x="5122440" y="738180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3.4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4.9" hidden="false" customHeight="false" outlineLevel="0" collapsed="false">
      <c r="A5" s="3" t="s">
        <v>3</v>
      </c>
    </row>
    <row r="6" customFormat="false" ht="14.9" hidden="false" customHeight="false" outlineLevel="0" collapsed="false">
      <c r="A6" s="3" t="s">
        <v>4</v>
      </c>
    </row>
    <row r="7" customFormat="false" ht="14.9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4" t="s">
        <v>6</v>
      </c>
    </row>
    <row r="10" customFormat="false" ht="14.9" hidden="false" customHeight="false" outlineLevel="0" collapsed="false">
      <c r="A10" s="3" t="s">
        <v>7</v>
      </c>
    </row>
    <row r="11" customFormat="false" ht="14.9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4.9" hidden="false" customHeight="false" outlineLevel="0" collapsed="false">
      <c r="A14" s="3" t="s">
        <v>10</v>
      </c>
    </row>
    <row r="15" customFormat="false" ht="14.9" hidden="false" customHeight="false" outlineLevel="0" collapsed="false">
      <c r="A15" s="3" t="s">
        <v>11</v>
      </c>
    </row>
    <row r="16" customFormat="false" ht="14.9" hidden="false" customHeight="false" outlineLevel="0" collapsed="false">
      <c r="A16" s="3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</cols>
  <sheetData>
    <row r="1" customFormat="false" ht="19.4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4" customFormat="false" ht="28.35" hidden="false" customHeight="fals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customFormat="false" ht="15" hidden="false" customHeight="false" outlineLevel="0" collapsed="false">
      <c r="A5" s="6" t="s">
        <v>20</v>
      </c>
      <c r="B5" s="7" t="s">
        <v>21</v>
      </c>
      <c r="C5" s="8" t="n">
        <f aca="false">'고1 모의고사'!E11</f>
        <v>65.6</v>
      </c>
      <c r="D5" s="8" t="n">
        <f aca="false">'고1 모의고사'!F11</f>
        <v>80.8</v>
      </c>
      <c r="E5" s="9" t="n">
        <f aca="false">D5-C5</f>
        <v>15.2</v>
      </c>
    </row>
    <row r="6" customFormat="false" ht="15" hidden="false" customHeight="false" outlineLevel="0" collapsed="false">
      <c r="A6" s="6" t="s">
        <v>20</v>
      </c>
      <c r="B6" s="7" t="s">
        <v>22</v>
      </c>
      <c r="C6" s="8" t="n">
        <f aca="false">'고1 모의고사'!E20</f>
        <v>15.8</v>
      </c>
      <c r="D6" s="8" t="n">
        <f aca="false">'고1 모의고사'!F20</f>
        <v>16.4</v>
      </c>
      <c r="E6" s="9" t="n">
        <f aca="false">D6-C6</f>
        <v>0.599999999999998</v>
      </c>
    </row>
    <row r="7" customFormat="false" ht="15" hidden="false" customHeight="false" outlineLevel="0" collapsed="false">
      <c r="A7" s="6" t="s">
        <v>20</v>
      </c>
      <c r="B7" s="7" t="s">
        <v>23</v>
      </c>
      <c r="C7" s="8" t="n">
        <f aca="false">'고1 모의고사'!E29</f>
        <v>15</v>
      </c>
      <c r="D7" s="8" t="n">
        <f aca="false">'고1 모의고사'!F29</f>
        <v>20.8</v>
      </c>
      <c r="E7" s="9" t="n">
        <f aca="false">D7-C7</f>
        <v>5.8</v>
      </c>
    </row>
    <row r="8" customFormat="false" ht="15" hidden="false" customHeight="false" outlineLevel="0" collapsed="false">
      <c r="A8" s="6" t="s">
        <v>24</v>
      </c>
      <c r="B8" s="7" t="s">
        <v>21</v>
      </c>
      <c r="C8" s="8" t="n">
        <f aca="false">'고2 모의고사'!C11</f>
        <v>82</v>
      </c>
      <c r="D8" s="8" t="n">
        <f aca="false">'고2 모의고사'!D11</f>
        <v>82</v>
      </c>
      <c r="E8" s="9" t="n">
        <f aca="false">D8-C8</f>
        <v>0</v>
      </c>
    </row>
    <row r="9" customFormat="false" ht="15" hidden="false" customHeight="false" outlineLevel="0" collapsed="false">
      <c r="A9" s="6" t="s">
        <v>24</v>
      </c>
      <c r="B9" s="7" t="s">
        <v>22</v>
      </c>
      <c r="C9" s="8" t="n">
        <f aca="false">'고2 모의고사'!C20</f>
        <v>16.8</v>
      </c>
      <c r="D9" s="8" t="n">
        <f aca="false">'고2 모의고사'!D20</f>
        <v>16.8</v>
      </c>
      <c r="E9" s="9" t="n">
        <f aca="false">D9-C9</f>
        <v>0</v>
      </c>
    </row>
    <row r="10" customFormat="false" ht="15" hidden="false" customHeight="false" outlineLevel="0" collapsed="false">
      <c r="A10" s="6" t="s">
        <v>24</v>
      </c>
      <c r="B10" s="7" t="s">
        <v>23</v>
      </c>
      <c r="C10" s="8" t="n">
        <f aca="false">'고2 모의고사'!C29</f>
        <v>21</v>
      </c>
      <c r="D10" s="8" t="n">
        <f aca="false">'고2 모의고사'!D29</f>
        <v>21</v>
      </c>
      <c r="E10" s="9" t="n">
        <f aca="false">D10-C10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7" min="2" style="0" width="12"/>
  </cols>
  <sheetData>
    <row r="1" customFormat="false" ht="19.4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  <c r="F5" s="5" t="s">
        <v>33</v>
      </c>
      <c r="G5" s="5" t="s">
        <v>19</v>
      </c>
    </row>
    <row r="6" customFormat="false" ht="15" hidden="false" customHeight="false" outlineLevel="0" collapsed="false">
      <c r="A6" s="6" t="s">
        <v>34</v>
      </c>
      <c r="B6" s="10" t="n">
        <v>63</v>
      </c>
      <c r="C6" s="10" t="n">
        <v>66</v>
      </c>
      <c r="D6" s="10" t="n">
        <v>75</v>
      </c>
      <c r="E6" s="7" t="n">
        <f aca="false">B6</f>
        <v>63</v>
      </c>
      <c r="F6" s="7" t="n">
        <f aca="false">LOOKUP(9.99E+307,B6:D6)</f>
        <v>75</v>
      </c>
      <c r="G6" s="11" t="n">
        <f aca="false">F6-E6</f>
        <v>12</v>
      </c>
    </row>
    <row r="7" customFormat="false" ht="15" hidden="false" customHeight="false" outlineLevel="0" collapsed="false">
      <c r="A7" s="6" t="s">
        <v>35</v>
      </c>
      <c r="B7" s="10" t="n">
        <v>59</v>
      </c>
      <c r="C7" s="10" t="n">
        <v>87</v>
      </c>
      <c r="D7" s="10" t="n">
        <v>73</v>
      </c>
      <c r="E7" s="7" t="n">
        <f aca="false">B7</f>
        <v>59</v>
      </c>
      <c r="F7" s="7" t="n">
        <f aca="false">LOOKUP(9.99E+307,B7:D7)</f>
        <v>73</v>
      </c>
      <c r="G7" s="11" t="n">
        <f aca="false">F7-E7</f>
        <v>14</v>
      </c>
    </row>
    <row r="8" customFormat="false" ht="15" hidden="false" customHeight="false" outlineLevel="0" collapsed="false">
      <c r="A8" s="6" t="s">
        <v>36</v>
      </c>
      <c r="B8" s="10" t="n">
        <v>88</v>
      </c>
      <c r="C8" s="10" t="n">
        <v>87</v>
      </c>
      <c r="D8" s="10" t="n">
        <v>100</v>
      </c>
      <c r="E8" s="7" t="n">
        <f aca="false">B8</f>
        <v>88</v>
      </c>
      <c r="F8" s="7" t="n">
        <f aca="false">LOOKUP(9.99E+307,B8:D8)</f>
        <v>100</v>
      </c>
      <c r="G8" s="11" t="n">
        <f aca="false">F8-E8</f>
        <v>12</v>
      </c>
    </row>
    <row r="9" customFormat="false" ht="15" hidden="false" customHeight="false" outlineLevel="0" collapsed="false">
      <c r="A9" s="6" t="s">
        <v>37</v>
      </c>
      <c r="B9" s="10" t="n">
        <v>67</v>
      </c>
      <c r="C9" s="10" t="n">
        <v>88</v>
      </c>
      <c r="D9" s="10" t="n">
        <v>74</v>
      </c>
      <c r="E9" s="7" t="n">
        <f aca="false">B9</f>
        <v>67</v>
      </c>
      <c r="F9" s="7" t="n">
        <f aca="false">LOOKUP(9.99E+307,B9:D9)</f>
        <v>74</v>
      </c>
      <c r="G9" s="11" t="n">
        <f aca="false">F9-E9</f>
        <v>7</v>
      </c>
    </row>
    <row r="10" customFormat="false" ht="15" hidden="false" customHeight="false" outlineLevel="0" collapsed="false">
      <c r="A10" s="6" t="s">
        <v>38</v>
      </c>
      <c r="B10" s="10" t="n">
        <v>51</v>
      </c>
      <c r="C10" s="10" t="n">
        <v>73</v>
      </c>
      <c r="D10" s="10" t="n">
        <v>82</v>
      </c>
      <c r="E10" s="7" t="n">
        <f aca="false">B10</f>
        <v>51</v>
      </c>
      <c r="F10" s="7" t="n">
        <f aca="false">LOOKUP(9.99E+307,B10:D10)</f>
        <v>82</v>
      </c>
      <c r="G10" s="11" t="n">
        <f aca="false">F10-E10</f>
        <v>31</v>
      </c>
    </row>
    <row r="11" customFormat="false" ht="15" hidden="false" customHeight="false" outlineLevel="0" collapsed="false">
      <c r="A11" s="12" t="s">
        <v>39</v>
      </c>
      <c r="B11" s="13" t="n">
        <f aca="false">IF(COUNT(B6:B10)=0,"",AVERAGE(B6:B10))</f>
        <v>65.6</v>
      </c>
      <c r="C11" s="13" t="n">
        <f aca="false">IF(COUNT(C6:C10)=0,"",AVERAGE(C6:C10))</f>
        <v>80.2</v>
      </c>
      <c r="D11" s="13" t="n">
        <f aca="false">IF(COUNT(D6:D10)=0,"",AVERAGE(D6:D10))</f>
        <v>80.8</v>
      </c>
      <c r="E11" s="13" t="n">
        <f aca="false">B11</f>
        <v>65.6</v>
      </c>
      <c r="F11" s="13" t="n">
        <f aca="false">LOOKUP(9.99E+307,B11:D11)</f>
        <v>80.8</v>
      </c>
      <c r="G11" s="14" t="n">
        <f aca="false">F11-E11</f>
        <v>15.2</v>
      </c>
    </row>
    <row r="13" customFormat="false" ht="15" hidden="false" customHeight="false" outlineLevel="0" collapsed="false">
      <c r="A13" s="4" t="s">
        <v>40</v>
      </c>
    </row>
    <row r="14" customFormat="false" ht="33.75" hidden="false" customHeight="true" outlineLevel="0" collapsed="false">
      <c r="A14" s="5" t="s">
        <v>28</v>
      </c>
      <c r="B14" s="5" t="s">
        <v>29</v>
      </c>
      <c r="C14" s="5" t="s">
        <v>30</v>
      </c>
      <c r="D14" s="5" t="s">
        <v>31</v>
      </c>
      <c r="E14" s="5" t="s">
        <v>32</v>
      </c>
      <c r="F14" s="5" t="s">
        <v>33</v>
      </c>
      <c r="G14" s="5" t="s">
        <v>19</v>
      </c>
    </row>
    <row r="15" customFormat="false" ht="15" hidden="false" customHeight="false" outlineLevel="0" collapsed="false">
      <c r="A15" s="6" t="s">
        <v>34</v>
      </c>
      <c r="B15" s="10" t="n">
        <v>14</v>
      </c>
      <c r="C15" s="10" t="n">
        <v>15</v>
      </c>
      <c r="D15" s="10" t="n">
        <v>16</v>
      </c>
      <c r="E15" s="7" t="n">
        <f aca="false">B15</f>
        <v>14</v>
      </c>
      <c r="F15" s="7" t="n">
        <f aca="false">LOOKUP(9.99E+307,B15:D15)</f>
        <v>16</v>
      </c>
      <c r="G15" s="11" t="n">
        <f aca="false">F15-E15</f>
        <v>2</v>
      </c>
    </row>
    <row r="16" customFormat="false" ht="15" hidden="false" customHeight="false" outlineLevel="0" collapsed="false">
      <c r="A16" s="6" t="s">
        <v>35</v>
      </c>
      <c r="B16" s="10" t="n">
        <v>17</v>
      </c>
      <c r="C16" s="10" t="n">
        <v>17</v>
      </c>
      <c r="D16" s="10" t="n">
        <v>17</v>
      </c>
      <c r="E16" s="7" t="n">
        <f aca="false">B16</f>
        <v>17</v>
      </c>
      <c r="F16" s="7" t="n">
        <f aca="false">LOOKUP(9.99E+307,B16:D16)</f>
        <v>17</v>
      </c>
      <c r="G16" s="11" t="n">
        <f aca="false">F16-E16</f>
        <v>0</v>
      </c>
    </row>
    <row r="17" customFormat="false" ht="15" hidden="false" customHeight="false" outlineLevel="0" collapsed="false">
      <c r="A17" s="6" t="s">
        <v>36</v>
      </c>
      <c r="B17" s="10" t="n">
        <v>17</v>
      </c>
      <c r="C17" s="10" t="n">
        <v>17</v>
      </c>
      <c r="D17" s="10" t="n">
        <v>17</v>
      </c>
      <c r="E17" s="7" t="n">
        <f aca="false">B17</f>
        <v>17</v>
      </c>
      <c r="F17" s="7" t="n">
        <f aca="false">LOOKUP(9.99E+307,B17:D17)</f>
        <v>17</v>
      </c>
      <c r="G17" s="11" t="n">
        <f aca="false">F17-E17</f>
        <v>0</v>
      </c>
    </row>
    <row r="18" customFormat="false" ht="15" hidden="false" customHeight="false" outlineLevel="0" collapsed="false">
      <c r="A18" s="6" t="s">
        <v>37</v>
      </c>
      <c r="B18" s="10" t="n">
        <v>15</v>
      </c>
      <c r="C18" s="10" t="n">
        <v>17</v>
      </c>
      <c r="D18" s="10" t="n">
        <v>15</v>
      </c>
      <c r="E18" s="7" t="n">
        <f aca="false">B18</f>
        <v>15</v>
      </c>
      <c r="F18" s="7" t="n">
        <f aca="false">LOOKUP(9.99E+307,B18:D18)</f>
        <v>15</v>
      </c>
      <c r="G18" s="11" t="n">
        <f aca="false">F18-E18</f>
        <v>0</v>
      </c>
    </row>
    <row r="19" customFormat="false" ht="15" hidden="false" customHeight="false" outlineLevel="0" collapsed="false">
      <c r="A19" s="6" t="s">
        <v>38</v>
      </c>
      <c r="B19" s="10" t="n">
        <v>16</v>
      </c>
      <c r="C19" s="10" t="n">
        <v>17</v>
      </c>
      <c r="D19" s="10" t="n">
        <v>17</v>
      </c>
      <c r="E19" s="7" t="n">
        <f aca="false">B19</f>
        <v>16</v>
      </c>
      <c r="F19" s="7" t="n">
        <f aca="false">LOOKUP(9.99E+307,B19:D19)</f>
        <v>17</v>
      </c>
      <c r="G19" s="11" t="n">
        <f aca="false">F19-E19</f>
        <v>1</v>
      </c>
    </row>
    <row r="20" customFormat="false" ht="15" hidden="false" customHeight="false" outlineLevel="0" collapsed="false">
      <c r="A20" s="12" t="s">
        <v>39</v>
      </c>
      <c r="B20" s="13" t="n">
        <f aca="false">IF(COUNT(B15:B19)=0,"",AVERAGE(B15:B19))</f>
        <v>15.8</v>
      </c>
      <c r="C20" s="13" t="n">
        <f aca="false">IF(COUNT(C15:C19)=0,"",AVERAGE(C15:C19))</f>
        <v>16.6</v>
      </c>
      <c r="D20" s="13" t="n">
        <f aca="false">IF(COUNT(D15:D19)=0,"",AVERAGE(D15:D19))</f>
        <v>16.4</v>
      </c>
      <c r="E20" s="13" t="n">
        <f aca="false">B20</f>
        <v>15.8</v>
      </c>
      <c r="F20" s="13" t="n">
        <f aca="false">LOOKUP(9.99E+307,B20:D20)</f>
        <v>16.4</v>
      </c>
      <c r="G20" s="14" t="n">
        <f aca="false">F20-E20</f>
        <v>0.599999999999998</v>
      </c>
    </row>
    <row r="22" customFormat="false" ht="15" hidden="false" customHeight="false" outlineLevel="0" collapsed="false">
      <c r="A22" s="4" t="s">
        <v>41</v>
      </c>
    </row>
    <row r="23" customFormat="false" ht="33.75" hidden="false" customHeight="true" outlineLevel="0" collapsed="false">
      <c r="A23" s="5" t="s">
        <v>28</v>
      </c>
      <c r="B23" s="5" t="s">
        <v>29</v>
      </c>
      <c r="C23" s="5" t="s">
        <v>30</v>
      </c>
      <c r="D23" s="5" t="s">
        <v>31</v>
      </c>
      <c r="E23" s="5" t="s">
        <v>32</v>
      </c>
      <c r="F23" s="5" t="s">
        <v>33</v>
      </c>
      <c r="G23" s="5" t="s">
        <v>19</v>
      </c>
    </row>
    <row r="24" customFormat="false" ht="15" hidden="false" customHeight="false" outlineLevel="0" collapsed="false">
      <c r="A24" s="6" t="s">
        <v>34</v>
      </c>
      <c r="B24" s="10" t="n">
        <v>16</v>
      </c>
      <c r="C24" s="10" t="n">
        <v>16</v>
      </c>
      <c r="D24" s="10" t="n">
        <v>18</v>
      </c>
      <c r="E24" s="7" t="n">
        <f aca="false">B24</f>
        <v>16</v>
      </c>
      <c r="F24" s="7" t="n">
        <f aca="false">LOOKUP(9.99E+307,B24:D24)</f>
        <v>18</v>
      </c>
      <c r="G24" s="11" t="n">
        <f aca="false">F24-E24</f>
        <v>2</v>
      </c>
    </row>
    <row r="25" customFormat="false" ht="15" hidden="false" customHeight="false" outlineLevel="0" collapsed="false">
      <c r="A25" s="6" t="s">
        <v>35</v>
      </c>
      <c r="B25" s="10" t="n">
        <v>11</v>
      </c>
      <c r="C25" s="10" t="n">
        <v>23</v>
      </c>
      <c r="D25" s="10" t="n">
        <v>17</v>
      </c>
      <c r="E25" s="7" t="n">
        <f aca="false">B25</f>
        <v>11</v>
      </c>
      <c r="F25" s="7" t="n">
        <f aca="false">LOOKUP(9.99E+307,B25:D25)</f>
        <v>17</v>
      </c>
      <c r="G25" s="11" t="n">
        <f aca="false">F25-E25</f>
        <v>6</v>
      </c>
    </row>
    <row r="26" customFormat="false" ht="15" hidden="false" customHeight="false" outlineLevel="0" collapsed="false">
      <c r="A26" s="6" t="s">
        <v>36</v>
      </c>
      <c r="B26" s="10" t="n">
        <v>23</v>
      </c>
      <c r="C26" s="10" t="n">
        <v>23</v>
      </c>
      <c r="D26" s="10" t="n">
        <v>28</v>
      </c>
      <c r="E26" s="7" t="n">
        <f aca="false">B26</f>
        <v>23</v>
      </c>
      <c r="F26" s="7" t="n">
        <f aca="false">LOOKUP(9.99E+307,B26:D26)</f>
        <v>28</v>
      </c>
      <c r="G26" s="11" t="n">
        <f aca="false">F26-E26</f>
        <v>5</v>
      </c>
    </row>
    <row r="27" customFormat="false" ht="15" hidden="false" customHeight="false" outlineLevel="0" collapsed="false">
      <c r="A27" s="6" t="s">
        <v>37</v>
      </c>
      <c r="B27" s="10" t="n">
        <v>17</v>
      </c>
      <c r="C27" s="10" t="n">
        <v>24</v>
      </c>
      <c r="D27" s="10" t="n">
        <v>20</v>
      </c>
      <c r="E27" s="7" t="n">
        <f aca="false">B27</f>
        <v>17</v>
      </c>
      <c r="F27" s="7" t="n">
        <f aca="false">LOOKUP(9.99E+307,B27:D27)</f>
        <v>20</v>
      </c>
      <c r="G27" s="11" t="n">
        <f aca="false">F27-E27</f>
        <v>3</v>
      </c>
    </row>
    <row r="28" customFormat="false" ht="15" hidden="false" customHeight="false" outlineLevel="0" collapsed="false">
      <c r="A28" s="6" t="s">
        <v>38</v>
      </c>
      <c r="B28" s="10" t="n">
        <v>8</v>
      </c>
      <c r="C28" s="10" t="n">
        <v>18</v>
      </c>
      <c r="D28" s="10" t="n">
        <v>21</v>
      </c>
      <c r="E28" s="7" t="n">
        <f aca="false">B28</f>
        <v>8</v>
      </c>
      <c r="F28" s="7" t="n">
        <f aca="false">LOOKUP(9.99E+307,B28:D28)</f>
        <v>21</v>
      </c>
      <c r="G28" s="11" t="n">
        <f aca="false">F28-E28</f>
        <v>13</v>
      </c>
    </row>
    <row r="29" customFormat="false" ht="15" hidden="false" customHeight="false" outlineLevel="0" collapsed="false">
      <c r="A29" s="12" t="s">
        <v>39</v>
      </c>
      <c r="B29" s="13" t="n">
        <f aca="false">IF(COUNT(B24:B28)=0,"",AVERAGE(B24:B28))</f>
        <v>15</v>
      </c>
      <c r="C29" s="13" t="n">
        <f aca="false">IF(COUNT(C24:C28)=0,"",AVERAGE(C24:C28))</f>
        <v>20.8</v>
      </c>
      <c r="D29" s="13" t="n">
        <f aca="false">IF(COUNT(D24:D28)=0,"",AVERAGE(D24:D28))</f>
        <v>20.8</v>
      </c>
      <c r="E29" s="13" t="n">
        <f aca="false">B29</f>
        <v>15</v>
      </c>
      <c r="F29" s="13" t="n">
        <f aca="false">LOOKUP(9.99E+307,B29:D29)</f>
        <v>20.8</v>
      </c>
      <c r="G29" s="14" t="n">
        <f aca="false">F29-E29</f>
        <v>5.8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2"/>
  </cols>
  <sheetData>
    <row r="1" customFormat="false" ht="19.4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4" t="s">
        <v>27</v>
      </c>
    </row>
    <row r="5" customFormat="false" ht="33.75" hidden="false" customHeight="true" outlineLevel="0" collapsed="false">
      <c r="A5" s="5" t="s">
        <v>28</v>
      </c>
      <c r="B5" s="5" t="s">
        <v>44</v>
      </c>
      <c r="C5" s="5" t="s">
        <v>32</v>
      </c>
      <c r="D5" s="5" t="s">
        <v>33</v>
      </c>
      <c r="E5" s="5" t="s">
        <v>19</v>
      </c>
    </row>
    <row r="6" customFormat="false" ht="15" hidden="false" customHeight="false" outlineLevel="0" collapsed="false">
      <c r="A6" s="6" t="s">
        <v>34</v>
      </c>
      <c r="B6" s="10" t="n">
        <v>77</v>
      </c>
      <c r="C6" s="7" t="n">
        <f aca="false">B6</f>
        <v>77</v>
      </c>
      <c r="D6" s="7" t="n">
        <f aca="false">LOOKUP(9.99E+307,B6:B6)</f>
        <v>77</v>
      </c>
      <c r="E6" s="11" t="n">
        <f aca="false">D6-C6</f>
        <v>0</v>
      </c>
    </row>
    <row r="7" customFormat="false" ht="15" hidden="false" customHeight="false" outlineLevel="0" collapsed="false">
      <c r="A7" s="6" t="s">
        <v>35</v>
      </c>
      <c r="B7" s="10" t="n">
        <v>76</v>
      </c>
      <c r="C7" s="7" t="n">
        <f aca="false">B7</f>
        <v>76</v>
      </c>
      <c r="D7" s="7" t="n">
        <f aca="false">LOOKUP(9.99E+307,B7:B7)</f>
        <v>76</v>
      </c>
      <c r="E7" s="11" t="n">
        <f aca="false">D7-C7</f>
        <v>0</v>
      </c>
    </row>
    <row r="8" customFormat="false" ht="15" hidden="false" customHeight="false" outlineLevel="0" collapsed="false">
      <c r="A8" s="6" t="s">
        <v>36</v>
      </c>
      <c r="B8" s="10" t="n">
        <v>95</v>
      </c>
      <c r="C8" s="7" t="n">
        <f aca="false">B8</f>
        <v>95</v>
      </c>
      <c r="D8" s="7" t="n">
        <f aca="false">LOOKUP(9.99E+307,B8:B8)</f>
        <v>95</v>
      </c>
      <c r="E8" s="11" t="n">
        <f aca="false">D8-C8</f>
        <v>0</v>
      </c>
    </row>
    <row r="9" customFormat="false" ht="15" hidden="false" customHeight="false" outlineLevel="0" collapsed="false">
      <c r="A9" s="6" t="s">
        <v>37</v>
      </c>
      <c r="B9" s="10" t="n">
        <v>82</v>
      </c>
      <c r="C9" s="7" t="n">
        <f aca="false">B9</f>
        <v>82</v>
      </c>
      <c r="D9" s="7" t="n">
        <f aca="false">LOOKUP(9.99E+307,B9:B9)</f>
        <v>82</v>
      </c>
      <c r="E9" s="11" t="n">
        <f aca="false">D9-C9</f>
        <v>0</v>
      </c>
    </row>
    <row r="10" customFormat="false" ht="15" hidden="false" customHeight="false" outlineLevel="0" collapsed="false">
      <c r="A10" s="6" t="s">
        <v>38</v>
      </c>
      <c r="B10" s="10" t="n">
        <v>80</v>
      </c>
      <c r="C10" s="7" t="n">
        <f aca="false">B10</f>
        <v>80</v>
      </c>
      <c r="D10" s="7" t="n">
        <f aca="false">LOOKUP(9.99E+307,B10:B10)</f>
        <v>80</v>
      </c>
      <c r="E10" s="11" t="n">
        <f aca="false">D10-C10</f>
        <v>0</v>
      </c>
    </row>
    <row r="11" customFormat="false" ht="15" hidden="false" customHeight="false" outlineLevel="0" collapsed="false">
      <c r="A11" s="12" t="s">
        <v>39</v>
      </c>
      <c r="B11" s="13" t="n">
        <f aca="false">IF(COUNT(B6:B10)=0,"",AVERAGE(B6:B10))</f>
        <v>82</v>
      </c>
      <c r="C11" s="13" t="n">
        <f aca="false">B11</f>
        <v>82</v>
      </c>
      <c r="D11" s="13" t="n">
        <f aca="false">LOOKUP(9.99E+307,B11:B11)</f>
        <v>82</v>
      </c>
      <c r="E11" s="14" t="n">
        <f aca="false">D11-C11</f>
        <v>0</v>
      </c>
    </row>
    <row r="13" customFormat="false" ht="15" hidden="false" customHeight="false" outlineLevel="0" collapsed="false">
      <c r="A13" s="4" t="s">
        <v>40</v>
      </c>
    </row>
    <row r="14" customFormat="false" ht="33.75" hidden="false" customHeight="true" outlineLevel="0" collapsed="false">
      <c r="A14" s="5" t="s">
        <v>28</v>
      </c>
      <c r="B14" s="5" t="s">
        <v>44</v>
      </c>
      <c r="C14" s="5" t="s">
        <v>32</v>
      </c>
      <c r="D14" s="5" t="s">
        <v>33</v>
      </c>
      <c r="E14" s="5" t="s">
        <v>19</v>
      </c>
    </row>
    <row r="15" customFormat="false" ht="15" hidden="false" customHeight="false" outlineLevel="0" collapsed="false">
      <c r="A15" s="6" t="s">
        <v>34</v>
      </c>
      <c r="B15" s="10" t="n">
        <v>17</v>
      </c>
      <c r="C15" s="7" t="n">
        <f aca="false">B15</f>
        <v>17</v>
      </c>
      <c r="D15" s="7" t="n">
        <f aca="false">LOOKUP(9.99E+307,B15:B15)</f>
        <v>17</v>
      </c>
      <c r="E15" s="11" t="n">
        <f aca="false">D15-C15</f>
        <v>0</v>
      </c>
    </row>
    <row r="16" customFormat="false" ht="15" hidden="false" customHeight="false" outlineLevel="0" collapsed="false">
      <c r="A16" s="6" t="s">
        <v>35</v>
      </c>
      <c r="B16" s="10" t="n">
        <v>16</v>
      </c>
      <c r="C16" s="7" t="n">
        <f aca="false">B16</f>
        <v>16</v>
      </c>
      <c r="D16" s="7" t="n">
        <f aca="false">LOOKUP(9.99E+307,B16:B16)</f>
        <v>16</v>
      </c>
      <c r="E16" s="11" t="n">
        <f aca="false">D16-C16</f>
        <v>0</v>
      </c>
    </row>
    <row r="17" customFormat="false" ht="15" hidden="false" customHeight="false" outlineLevel="0" collapsed="false">
      <c r="A17" s="6" t="s">
        <v>36</v>
      </c>
      <c r="B17" s="10" t="n">
        <v>17</v>
      </c>
      <c r="C17" s="7" t="n">
        <f aca="false">B17</f>
        <v>17</v>
      </c>
      <c r="D17" s="7" t="n">
        <f aca="false">LOOKUP(9.99E+307,B17:B17)</f>
        <v>17</v>
      </c>
      <c r="E17" s="11" t="n">
        <f aca="false">D17-C17</f>
        <v>0</v>
      </c>
    </row>
    <row r="18" customFormat="false" ht="15" hidden="false" customHeight="false" outlineLevel="0" collapsed="false">
      <c r="A18" s="6" t="s">
        <v>37</v>
      </c>
      <c r="B18" s="10" t="n">
        <v>17</v>
      </c>
      <c r="C18" s="7" t="n">
        <f aca="false">B18</f>
        <v>17</v>
      </c>
      <c r="D18" s="7" t="n">
        <f aca="false">LOOKUP(9.99E+307,B18:B18)</f>
        <v>17</v>
      </c>
      <c r="E18" s="11" t="n">
        <f aca="false">D18-C18</f>
        <v>0</v>
      </c>
    </row>
    <row r="19" customFormat="false" ht="15" hidden="false" customHeight="false" outlineLevel="0" collapsed="false">
      <c r="A19" s="6" t="s">
        <v>38</v>
      </c>
      <c r="B19" s="10" t="n">
        <v>17</v>
      </c>
      <c r="C19" s="7" t="n">
        <f aca="false">B19</f>
        <v>17</v>
      </c>
      <c r="D19" s="7" t="n">
        <f aca="false">LOOKUP(9.99E+307,B19:B19)</f>
        <v>17</v>
      </c>
      <c r="E19" s="11" t="n">
        <f aca="false">D19-C19</f>
        <v>0</v>
      </c>
    </row>
    <row r="20" customFormat="false" ht="15" hidden="false" customHeight="false" outlineLevel="0" collapsed="false">
      <c r="A20" s="12" t="s">
        <v>39</v>
      </c>
      <c r="B20" s="13" t="n">
        <f aca="false">IF(COUNT(B15:B19)=0,"",AVERAGE(B15:B19))</f>
        <v>16.8</v>
      </c>
      <c r="C20" s="13" t="n">
        <f aca="false">B20</f>
        <v>16.8</v>
      </c>
      <c r="D20" s="13" t="n">
        <f aca="false">LOOKUP(9.99E+307,B20:B20)</f>
        <v>16.8</v>
      </c>
      <c r="E20" s="14" t="n">
        <f aca="false">D20-C20</f>
        <v>0</v>
      </c>
    </row>
    <row r="22" customFormat="false" ht="15" hidden="false" customHeight="false" outlineLevel="0" collapsed="false">
      <c r="A22" s="4" t="s">
        <v>41</v>
      </c>
    </row>
    <row r="23" customFormat="false" ht="33.75" hidden="false" customHeight="true" outlineLevel="0" collapsed="false">
      <c r="A23" s="5" t="s">
        <v>28</v>
      </c>
      <c r="B23" s="5" t="s">
        <v>44</v>
      </c>
      <c r="C23" s="5" t="s">
        <v>32</v>
      </c>
      <c r="D23" s="5" t="s">
        <v>33</v>
      </c>
      <c r="E23" s="5" t="s">
        <v>19</v>
      </c>
    </row>
    <row r="24" customFormat="false" ht="15" hidden="false" customHeight="false" outlineLevel="0" collapsed="false">
      <c r="A24" s="6" t="s">
        <v>34</v>
      </c>
      <c r="B24" s="10" t="n">
        <v>19</v>
      </c>
      <c r="C24" s="7" t="n">
        <f aca="false">B24</f>
        <v>19</v>
      </c>
      <c r="D24" s="7" t="n">
        <f aca="false">LOOKUP(9.99E+307,B24:B24)</f>
        <v>19</v>
      </c>
      <c r="E24" s="11" t="n">
        <f aca="false">D24-C24</f>
        <v>0</v>
      </c>
    </row>
    <row r="25" customFormat="false" ht="15" hidden="false" customHeight="false" outlineLevel="0" collapsed="false">
      <c r="A25" s="6" t="s">
        <v>35</v>
      </c>
      <c r="B25" s="10" t="n">
        <v>19</v>
      </c>
      <c r="C25" s="7" t="n">
        <f aca="false">B25</f>
        <v>19</v>
      </c>
      <c r="D25" s="7" t="n">
        <f aca="false">LOOKUP(9.99E+307,B25:B25)</f>
        <v>19</v>
      </c>
      <c r="E25" s="11" t="n">
        <f aca="false">D25-C25</f>
        <v>0</v>
      </c>
    </row>
    <row r="26" customFormat="false" ht="15" hidden="false" customHeight="false" outlineLevel="0" collapsed="false">
      <c r="A26" s="6" t="s">
        <v>36</v>
      </c>
      <c r="B26" s="10" t="n">
        <v>26</v>
      </c>
      <c r="C26" s="7" t="n">
        <f aca="false">B26</f>
        <v>26</v>
      </c>
      <c r="D26" s="7" t="n">
        <f aca="false">LOOKUP(9.99E+307,B26:B26)</f>
        <v>26</v>
      </c>
      <c r="E26" s="11" t="n">
        <f aca="false">D26-C26</f>
        <v>0</v>
      </c>
    </row>
    <row r="27" customFormat="false" ht="15" hidden="false" customHeight="false" outlineLevel="0" collapsed="false">
      <c r="A27" s="6" t="s">
        <v>37</v>
      </c>
      <c r="B27" s="10" t="n">
        <v>21</v>
      </c>
      <c r="C27" s="7" t="n">
        <f aca="false">B27</f>
        <v>21</v>
      </c>
      <c r="D27" s="7" t="n">
        <f aca="false">LOOKUP(9.99E+307,B27:B27)</f>
        <v>21</v>
      </c>
      <c r="E27" s="11" t="n">
        <f aca="false">D27-C27</f>
        <v>0</v>
      </c>
    </row>
    <row r="28" customFormat="false" ht="15" hidden="false" customHeight="false" outlineLevel="0" collapsed="false">
      <c r="A28" s="6" t="s">
        <v>38</v>
      </c>
      <c r="B28" s="10" t="n">
        <v>20</v>
      </c>
      <c r="C28" s="7" t="n">
        <f aca="false">B28</f>
        <v>20</v>
      </c>
      <c r="D28" s="7" t="n">
        <f aca="false">LOOKUP(9.99E+307,B28:B28)</f>
        <v>20</v>
      </c>
      <c r="E28" s="11" t="n">
        <f aca="false">D28-C28</f>
        <v>0</v>
      </c>
    </row>
    <row r="29" customFormat="false" ht="15" hidden="false" customHeight="false" outlineLevel="0" collapsed="false">
      <c r="A29" s="12" t="s">
        <v>39</v>
      </c>
      <c r="B29" s="13" t="n">
        <f aca="false">IF(COUNT(B24:B28)=0,"",AVERAGE(B24:B28))</f>
        <v>21</v>
      </c>
      <c r="C29" s="13" t="n">
        <f aca="false">B29</f>
        <v>21</v>
      </c>
      <c r="D29" s="13" t="n">
        <f aca="false">LOOKUP(9.99E+307,B29:B29)</f>
        <v>21</v>
      </c>
      <c r="E29" s="14" t="n">
        <f aca="false">D29-C29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2026-10-27T11:19:55Z</dcterms:created>
  <dc:creator>openpyxl</dc:creator>
  <dc:description/>
  <dc:language>en-US</dc:language>
  <cp:lastModifiedBy/>
  <dcterms:modified xsi:type="dcterms:W3CDTF">2026-10-27T11:19:58Z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