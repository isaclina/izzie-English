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1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31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16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17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18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19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0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1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6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7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8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9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30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31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</commentList>
</comments>
</file>

<file path=xl/sharedStrings.xml><?xml version="1.0" encoding="utf-8"?>
<sst xmlns="http://schemas.openxmlformats.org/spreadsheetml/2006/main" count="129" uniqueCount="49">
  <si>
    <r>
      <rPr>
        <b val="true"/>
        <sz val="14"/>
        <rFont val="WenQuanYi Zen Hei"/>
        <family val="2"/>
      </rPr>
      <t xml:space="preserve">이서연 반 시험 수준별 성적 변화 </t>
    </r>
    <r>
      <rPr>
        <b val="true"/>
        <sz val="14"/>
        <rFont val="Arial"/>
        <family val="0"/>
        <charset val="1"/>
      </rPr>
      <t xml:space="preserve">(2025–2026)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</si>
  <si>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2025 1M-A</t>
    </r>
    <r>
      <rPr>
        <sz val="9"/>
        <color rgb="FF666666"/>
        <rFont val="WenQuanYi Zen Hei"/>
        <family val="2"/>
      </rPr>
      <t xml:space="preserve">에서 </t>
    </r>
    <r>
      <rPr>
        <sz val="9"/>
        <color rgb="FF666666"/>
        <rFont val="Arial"/>
        <family val="0"/>
        <charset val="1"/>
      </rPr>
      <t xml:space="preserve">2026 2M-A</t>
    </r>
    <r>
      <rPr>
        <sz val="9"/>
        <color rgb="FF666666"/>
        <rFont val="WenQuanYi Zen Hei"/>
        <family val="2"/>
      </rPr>
      <t xml:space="preserve">까지 다닌 </t>
    </r>
    <r>
      <rPr>
        <sz val="9"/>
        <color rgb="FF666666"/>
        <rFont val="Arial"/>
        <family val="0"/>
        <charset val="1"/>
      </rPr>
      <t xml:space="preserve">6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김지수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김채율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이서연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황재성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서예준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이시원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</si>
  <si>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</si>
  <si>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</si>
  <si>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1(2025) 1·2·3·4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2(2026)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</si>
  <si>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2(2026)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</si>
  <si>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</si>
  <si>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</si>
  <si>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</si>
  <si>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</si>
  <si>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1·2</t>
    </r>
    <r>
      <rPr>
        <sz val="11"/>
        <rFont val="WenQuanYi Zen Hei"/>
        <family val="2"/>
      </rPr>
      <t xml:space="preserve">차는 총점만 기록된 학생이 있어 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칸이 비어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 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한 번뿐이라 그래프에 점 하나만 찍힙니다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</si>
  <si>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이서연 반은 현재 중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라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아직 보지 않았습니다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</si>
  <si>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한재승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김은혜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구승준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김가민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미등록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</si>
  <si>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</si>
  <si>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</si>
  <si>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</si>
  <si>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</si>
  <si>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</si>
  <si>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</si>
  <si>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</si>
  <si>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</si>
  <si>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</si>
  <si>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</si>
  <si>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</si>
  <si>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</si>
  <si>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</si>
  <si>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1(2025) 1·2·3·4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2(2026)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</si>
  <si>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</si>
  <si>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</si>
  <si>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</si>
  <si>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</si>
  <si>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</si>
  <si>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</si>
  <si>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</si>
  <si>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</si>
  <si>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첫 시험</t>
  </si>
  <si>
    <t xml:space="preserve">마지막 시험</t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</si>
  <si>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</si>
  <si>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</si>
  <si>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</si>
  <si>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</si>
  <si>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</si>
  <si>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이시원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</si>
  <si>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</si>
  <si>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</si>
  <si>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</si>
  <si>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</si>
  <si>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2(2026) 3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</si>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</sst>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5924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모의고사'!$B$6:$G$6</c:f>
              <c:numCache>
                <c:formatCode>General</c:formatCode>
                <c:ptCount val="6"/>
                <c:pt idx="0">
                  <c:v>63</c:v>
                </c:pt>
                <c:pt idx="1">
                  <c:v>67</c:v>
                </c:pt>
                <c:pt idx="2">
                  <c:v>68</c:v>
                </c:pt>
                <c:pt idx="3">
                  <c:v>61</c:v>
                </c:pt>
                <c:pt idx="4">
                  <c:v>66</c:v>
                </c:pt>
                <c:pt idx="5">
                  <c:v>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모의고사'!$B$7:$G$7</c:f>
              <c:numCache>
                <c:formatCode>General</c:formatCode>
                <c:ptCount val="6"/>
                <c:pt idx="0">
                  <c:v>59</c:v>
                </c:pt>
                <c:pt idx="1">
                  <c:v>86</c:v>
                </c:pt>
                <c:pt idx="2">
                  <c:v>76</c:v>
                </c:pt>
                <c:pt idx="3">
                  <c:v>78</c:v>
                </c:pt>
                <c:pt idx="4">
                  <c:v>87</c:v>
                </c:pt>
                <c:pt idx="5">
                  <c:v>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모의고사'!$B$8:$G$8</c:f>
              <c:numCache>
                <c:formatCode>General</c:formatCode>
                <c:ptCount val="6"/>
                <c:pt idx="0">
                  <c:v>88</c:v>
                </c:pt>
                <c:pt idx="1">
                  <c:v>94</c:v>
                </c:pt>
                <c:pt idx="2">
                  <c:v>91</c:v>
                </c:pt>
                <c:pt idx="3">
                  <c:v>94</c:v>
                </c:pt>
                <c:pt idx="4">
                  <c:v>87</c:v>
                </c:pt>
                <c:pt idx="5">
                  <c:v>100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모의고사'!$B$9:$G$9</c:f>
              <c:numCache>
                <c:formatCode>General</c:formatCode>
                <c:ptCount val="6"/>
                <c:pt idx="0">
                  <c:v>67</c:v>
                </c:pt>
                <c:pt idx="1">
                  <c:v>74</c:v>
                </c:pt>
                <c:pt idx="2">
                  <c:v>71</c:v>
                </c:pt>
                <c:pt idx="3">
                  <c:v>91</c:v>
                </c:pt>
                <c:pt idx="4">
                  <c:v>88</c:v>
                </c:pt>
                <c:pt idx="5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모의고사'!$B$10:$G$10</c:f>
              <c:numCache>
                <c:formatCode>General</c:formatCode>
                <c:ptCount val="6"/>
                <c:pt idx="0">
                  <c:v>51</c:v>
                </c:pt>
                <c:pt idx="1">
                  <c:v>57</c:v>
                </c:pt>
                <c:pt idx="2">
                  <c:v>68</c:v>
                </c:pt>
                <c:pt idx="3">
                  <c:v>86</c:v>
                </c:pt>
                <c:pt idx="4">
                  <c:v>73</c:v>
                </c:pt>
                <c:pt idx="5">
                  <c:v>82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모의고사'!A11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모의고사'!$B$11:$G$11</c:f>
              <c:numCache>
                <c:formatCode>General</c:formatCode>
                <c:ptCount val="6"/>
                <c:pt idx="0">
                  <c:v>62</c:v>
                </c:pt>
                <c:pt idx="1">
                  <c:v>61</c:v>
                </c:pt>
                <c:pt idx="2">
                  <c:v>69</c:v>
                </c:pt>
                <c:pt idx="3">
                  <c:v>78</c:v>
                </c:pt>
                <c:pt idx="4">
                  <c:v>73</c:v>
                </c:pt>
                <c:pt idx="5">
                  <c:v>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900627"/>
        <c:axId val="21361670"/>
      </c:lineChart>
      <c:catAx>
        <c:axId val="329006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61670"/>
        <c:crosses val="autoZero"/>
        <c:auto val="1"/>
        <c:lblAlgn val="ctr"/>
        <c:lblOffset val="100"/>
        <c:noMultiLvlLbl val="0"/>
      </c:catAx>
      <c:valAx>
        <c:axId val="21361670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0062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모의고사'!$B$16:$G$16</c:f>
              <c:numCache>
                <c:formatCode>General</c:formatCode>
                <c:ptCount val="6"/>
                <c:pt idx="0">
                  <c:v>14</c:v>
                </c:pt>
                <c:pt idx="2">
                  <c:v>16</c:v>
                </c:pt>
                <c:pt idx="3">
                  <c:v>16</c:v>
                </c:pt>
                <c:pt idx="4">
                  <c:v>15</c:v>
                </c:pt>
                <c:pt idx="5">
                  <c:v>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모의고사'!$B$17:$G$17</c:f>
              <c:numCache>
                <c:formatCode>General</c:formatCode>
                <c:ptCount val="6"/>
                <c:pt idx="0">
                  <c:v>17</c:v>
                </c:pt>
                <c:pt idx="2">
                  <c:v>17</c:v>
                </c:pt>
                <c:pt idx="3">
                  <c:v>15</c:v>
                </c:pt>
                <c:pt idx="4">
                  <c:v>17</c:v>
                </c:pt>
                <c:pt idx="5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모의고사'!$B$18:$G$18</c:f>
              <c:numCache>
                <c:formatCode>General</c:formatCode>
                <c:ptCount val="6"/>
                <c:pt idx="0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모의고사'!$B$19:$G$19</c:f>
              <c:numCache>
                <c:formatCode>General</c:formatCode>
                <c:ptCount val="6"/>
                <c:pt idx="0">
                  <c:v>15</c:v>
                </c:pt>
                <c:pt idx="2">
                  <c:v>15</c:v>
                </c:pt>
                <c:pt idx="3">
                  <c:v>17</c:v>
                </c:pt>
                <c:pt idx="4">
                  <c:v>17</c:v>
                </c:pt>
                <c:pt idx="5">
                  <c:v>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모의고사'!A20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모의고사'!$B$20:$G$20</c:f>
              <c:numCache>
                <c:formatCode>General</c:formatCode>
                <c:ptCount val="6"/>
                <c:pt idx="0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17</c:v>
                </c:pt>
                <c:pt idx="5">
                  <c:v>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모의고사'!A21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모의고사'!$B$21:$G$21</c:f>
              <c:numCache>
                <c:formatCode>General</c:formatCode>
                <c:ptCount val="6"/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062392"/>
        <c:axId val="50354999"/>
      </c:lineChart>
      <c:catAx>
        <c:axId val="42062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354999"/>
        <c:crosses val="autoZero"/>
        <c:auto val="1"/>
        <c:lblAlgn val="ctr"/>
        <c:lblOffset val="100"/>
        <c:noMultiLvlLbl val="0"/>
      </c:catAx>
      <c:valAx>
        <c:axId val="50354999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62392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모의고사'!$B$26:$G$26</c:f>
              <c:numCache>
                <c:formatCode>General</c:formatCode>
                <c:ptCount val="6"/>
                <c:pt idx="0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16</c:v>
                </c:pt>
                <c:pt idx="5">
                  <c:v>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모의고사'!$B$27:$G$27</c:f>
              <c:numCache>
                <c:formatCode>General</c:formatCode>
                <c:ptCount val="6"/>
                <c:pt idx="0">
                  <c:v>11</c:v>
                </c:pt>
                <c:pt idx="2">
                  <c:v>18</c:v>
                </c:pt>
                <c:pt idx="3">
                  <c:v>21</c:v>
                </c:pt>
                <c:pt idx="4">
                  <c:v>23</c:v>
                </c:pt>
                <c:pt idx="5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모의고사'!$B$28:$G$28</c:f>
              <c:numCache>
                <c:formatCode>General</c:formatCode>
                <c:ptCount val="6"/>
                <c:pt idx="0">
                  <c:v>23</c:v>
                </c:pt>
                <c:pt idx="2">
                  <c:v>24</c:v>
                </c:pt>
                <c:pt idx="3">
                  <c:v>26</c:v>
                </c:pt>
                <c:pt idx="4">
                  <c:v>23</c:v>
                </c:pt>
                <c:pt idx="5">
                  <c:v>28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모의고사'!$B$29:$G$29</c:f>
              <c:numCache>
                <c:formatCode>General</c:formatCode>
                <c:ptCount val="6"/>
                <c:pt idx="0">
                  <c:v>17</c:v>
                </c:pt>
                <c:pt idx="2">
                  <c:v>18</c:v>
                </c:pt>
                <c:pt idx="3">
                  <c:v>24</c:v>
                </c:pt>
                <c:pt idx="4">
                  <c:v>24</c:v>
                </c:pt>
                <c:pt idx="5">
                  <c:v>20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모의고사'!A30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모의고사'!$B$30:$G$30</c:f>
              <c:numCache>
                <c:formatCode>General</c:formatCode>
                <c:ptCount val="6"/>
                <c:pt idx="0">
                  <c:v>8</c:v>
                </c:pt>
                <c:pt idx="2">
                  <c:v>16</c:v>
                </c:pt>
                <c:pt idx="3">
                  <c:v>23</c:v>
                </c:pt>
                <c:pt idx="4">
                  <c:v>18</c:v>
                </c:pt>
                <c:pt idx="5">
                  <c:v>21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모의고사'!A31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모의고사'!$B$31:$G$31</c:f>
              <c:numCache>
                <c:formatCode>General</c:formatCode>
                <c:ptCount val="6"/>
                <c:pt idx="2">
                  <c:v>16</c:v>
                </c:pt>
                <c:pt idx="3">
                  <c:v>19</c:v>
                </c:pt>
                <c:pt idx="4">
                  <c:v>17</c:v>
                </c:pt>
                <c:pt idx="5">
                  <c:v>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62371"/>
        <c:axId val="71363443"/>
      </c:lineChart>
      <c:catAx>
        <c:axId val="40623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63443"/>
        <c:crosses val="autoZero"/>
        <c:auto val="1"/>
        <c:lblAlgn val="ctr"/>
        <c:lblOffset val="100"/>
        <c:noMultiLvlLbl val="0"/>
      </c:catAx>
      <c:valAx>
        <c:axId val="71363443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6237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모의고사'!$B$6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모의고사'!$B$7</c:f>
              <c:numCache>
                <c:formatCode>General</c:formatCode>
                <c:ptCount val="1"/>
                <c:pt idx="0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모의고사'!$B$8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모의고사'!$B$9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모의고사'!$B$10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모의고사'!A11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모의고사'!$B$11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719728"/>
        <c:axId val="44921377"/>
      </c:lineChart>
      <c:catAx>
        <c:axId val="7871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21377"/>
        <c:crosses val="autoZero"/>
        <c:auto val="1"/>
        <c:lblAlgn val="ctr"/>
        <c:lblOffset val="100"/>
        <c:noMultiLvlLbl val="0"/>
      </c:catAx>
      <c:valAx>
        <c:axId val="44921377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1972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모의고사'!$B$16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모의고사'!$B$17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모의고사'!$B$18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모의고사'!$B$19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모의고사'!A20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모의고사'!$B$20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모의고사'!A21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모의고사'!$B$21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501327"/>
        <c:axId val="36036203"/>
      </c:lineChart>
      <c:catAx>
        <c:axId val="3450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036203"/>
        <c:crosses val="autoZero"/>
        <c:auto val="1"/>
        <c:lblAlgn val="ctr"/>
        <c:lblOffset val="100"/>
        <c:noMultiLvlLbl val="0"/>
      </c:catAx>
      <c:valAx>
        <c:axId val="36036203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0132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모의고사'!$B$26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모의고사'!$B$28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모의고사'!$B$29</c:f>
              <c:numCache>
                <c:formatCode>General</c:formatCode>
                <c:ptCount val="1"/>
                <c:pt idx="0">
                  <c:v>21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모의고사'!A30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모의고사'!$B$30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모의고사'!A31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모의고사'!$B$31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168590"/>
        <c:axId val="58385538"/>
      </c:lineChart>
      <c:catAx>
        <c:axId val="821685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85538"/>
        <c:crosses val="autoZero"/>
        <c:auto val="1"/>
        <c:lblAlgn val="ctr"/>
        <c:lblOffset val="100"/>
        <c:noMultiLvlLbl val="0"/>
      </c:catAx>
      <c:valAx>
        <c:axId val="58385538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6859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134640</xdr:rowOff>
    </xdr:from>
    <xdr:to>
      <xdr:col>20</xdr:col>
      <xdr:colOff>256320</xdr:colOff>
      <xdr:row>14</xdr:row>
      <xdr:rowOff>310320</xdr:rowOff>
    </xdr:to>
    <xdr:graphicFrame>
      <xdr:nvGraphicFramePr>
        <xdr:cNvPr id="0" name="Chart 1"/>
        <xdr:cNvGraphicFramePr/>
      </xdr:nvGraphicFramePr>
      <xdr:xfrm>
        <a:off x="935172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18</xdr:row>
      <xdr:rowOff>134640</xdr:rowOff>
    </xdr:from>
    <xdr:to>
      <xdr:col>20</xdr:col>
      <xdr:colOff>256320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935172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34</xdr:row>
      <xdr:rowOff>134640</xdr:rowOff>
    </xdr:from>
    <xdr:to>
      <xdr:col>20</xdr:col>
      <xdr:colOff>256320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935172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134640</xdr:rowOff>
    </xdr:from>
    <xdr:to>
      <xdr:col>15</xdr:col>
      <xdr:colOff>255960</xdr:colOff>
      <xdr:row>14</xdr:row>
      <xdr:rowOff>310320</xdr:rowOff>
    </xdr:to>
    <xdr:graphicFrame>
      <xdr:nvGraphicFramePr>
        <xdr:cNvPr id="3" name="Chart 1"/>
        <xdr:cNvGraphicFramePr/>
      </xdr:nvGraphicFramePr>
      <xdr:xfrm>
        <a:off x="5122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18</xdr:row>
      <xdr:rowOff>134640</xdr:rowOff>
    </xdr:from>
    <xdr:to>
      <xdr:col>15</xdr:col>
      <xdr:colOff>255960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512244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34</xdr:row>
      <xdr:rowOff>134640</xdr:rowOff>
    </xdr:from>
    <xdr:to>
      <xdr:col>15</xdr:col>
      <xdr:colOff>255960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512244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4.9" hidden="false" customHeight="false" outlineLevel="0" collapsed="false">
      <c r="A10" s="3" t="s">
        <v>7</v>
      </c>
    </row>
    <row r="11" customFormat="false" ht="14.9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14.9" hidden="false" customHeight="false" outlineLevel="0" collapsed="false">
      <c r="A14" s="3" t="s">
        <v>10</v>
      </c>
    </row>
    <row r="15" customFormat="false" ht="14.9" hidden="false" customHeight="false" outlineLevel="0" collapsed="false">
      <c r="A15" s="3" t="s">
        <v>11</v>
      </c>
    </row>
    <row r="16" customFormat="false" ht="14.9" hidden="false" customHeight="false" outlineLevel="0" collapsed="false">
      <c r="A16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4" customFormat="false" ht="28.35" hidden="false" customHeight="fals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customFormat="false" ht="15" hidden="false" customHeight="false" outlineLevel="0" collapsed="false">
      <c r="A5" s="6" t="s">
        <v>20</v>
      </c>
      <c r="B5" s="7" t="s">
        <v>21</v>
      </c>
      <c r="C5" s="8" t="n">
        <f aca="false">'고1 모의고사'!H12</f>
        <v>65</v>
      </c>
      <c r="D5" s="8" t="n">
        <f aca="false">'고1 모의고사'!I12</f>
        <v>79.1666666666667</v>
      </c>
      <c r="E5" s="9" t="n">
        <f aca="false">D5-C5</f>
        <v>14.1666666666667</v>
      </c>
    </row>
    <row r="6" customFormat="false" ht="15" hidden="false" customHeight="false" outlineLevel="0" collapsed="false">
      <c r="A6" s="6" t="s">
        <v>20</v>
      </c>
      <c r="B6" s="7" t="s">
        <v>22</v>
      </c>
      <c r="C6" s="8" t="n">
        <f aca="false">'고1 모의고사'!H22</f>
        <v>15.8</v>
      </c>
      <c r="D6" s="8" t="n">
        <f aca="false">'고1 모의고사'!I22</f>
        <v>16.3333333333333</v>
      </c>
      <c r="E6" s="9" t="n">
        <f aca="false">D6-C6</f>
        <v>0.533333333333331</v>
      </c>
    </row>
    <row r="7" customFormat="false" ht="15" hidden="false" customHeight="false" outlineLevel="0" collapsed="false">
      <c r="A7" s="6" t="s">
        <v>20</v>
      </c>
      <c r="B7" s="7" t="s">
        <v>23</v>
      </c>
      <c r="C7" s="8" t="n">
        <f aca="false">'고1 모의고사'!H32</f>
        <v>15</v>
      </c>
      <c r="D7" s="8" t="n">
        <f aca="false">'고1 모의고사'!I32</f>
        <v>20.3333333333333</v>
      </c>
      <c r="E7" s="9" t="n">
        <f aca="false">D7-C7</f>
        <v>5.33333333333333</v>
      </c>
    </row>
    <row r="8" customFormat="false" ht="15" hidden="false" customHeight="false" outlineLevel="0" collapsed="false">
      <c r="A8" s="6" t="s">
        <v>24</v>
      </c>
      <c r="B8" s="7" t="s">
        <v>21</v>
      </c>
      <c r="C8" s="8" t="n">
        <f aca="false">'고2 모의고사'!C12</f>
        <v>81.1666666666667</v>
      </c>
      <c r="D8" s="8" t="n">
        <f aca="false">'고2 모의고사'!D12</f>
        <v>81.1666666666667</v>
      </c>
      <c r="E8" s="9" t="n">
        <f aca="false">D8-C8</f>
        <v>0</v>
      </c>
    </row>
    <row r="9" customFormat="false" ht="15" hidden="false" customHeight="false" outlineLevel="0" collapsed="false">
      <c r="A9" s="6" t="s">
        <v>24</v>
      </c>
      <c r="B9" s="7" t="s">
        <v>22</v>
      </c>
      <c r="C9" s="8" t="n">
        <f aca="false">'고2 모의고사'!C22</f>
        <v>16.8333333333333</v>
      </c>
      <c r="D9" s="8" t="n">
        <f aca="false">'고2 모의고사'!D22</f>
        <v>16.8333333333333</v>
      </c>
      <c r="E9" s="9" t="n">
        <f aca="false">D9-C9</f>
        <v>0</v>
      </c>
    </row>
    <row r="10" customFormat="false" ht="15" hidden="false" customHeight="false" outlineLevel="0" collapsed="false">
      <c r="A10" s="6" t="s">
        <v>24</v>
      </c>
      <c r="B10" s="7" t="s">
        <v>23</v>
      </c>
      <c r="C10" s="8" t="n">
        <f aca="false">'고2 모의고사'!C32</f>
        <v>20.6666666666667</v>
      </c>
      <c r="D10" s="8" t="n">
        <f aca="false">'고2 모의고사'!D32</f>
        <v>20.6666666666667</v>
      </c>
      <c r="E10" s="9" t="n">
        <f aca="false">D10-C10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2"/>
  </cols>
  <sheetData>
    <row r="1" customFormat="false" ht="19.4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</row>
    <row r="5" customFormat="false" ht="33.75" hidden="false" customHeight="true" outlineLevel="0" collapsed="false">
      <c r="A5" s="5" t="s">
        <v>28</v>
      </c>
      <c r="B5" s="5" t="s">
        <v>29</v>
      </c>
      <c r="C5" s="5" t="s">
        <v>30</v>
      </c>
      <c r="D5" s="5" t="s">
        <v>31</v>
      </c>
      <c r="E5" s="5" t="s">
        <v>32</v>
      </c>
      <c r="F5" s="5" t="s">
        <v>33</v>
      </c>
      <c r="G5" s="5" t="s">
        <v>34</v>
      </c>
      <c r="H5" s="5" t="s">
        <v>35</v>
      </c>
      <c r="I5" s="5" t="s">
        <v>36</v>
      </c>
      <c r="J5" s="5" t="s">
        <v>19</v>
      </c>
    </row>
    <row r="6" customFormat="false" ht="15" hidden="false" customHeight="false" outlineLevel="0" collapsed="false">
      <c r="A6" s="6" t="s">
        <v>37</v>
      </c>
      <c r="B6" s="10" t="n">
        <v>63</v>
      </c>
      <c r="C6" s="10" t="n">
        <v>67</v>
      </c>
      <c r="D6" s="10" t="n">
        <v>68</v>
      </c>
      <c r="E6" s="10" t="n">
        <v>61</v>
      </c>
      <c r="F6" s="10" t="n">
        <v>66</v>
      </c>
      <c r="G6" s="10" t="n">
        <v>75</v>
      </c>
      <c r="H6" s="7" t="n">
        <f aca="false">B6</f>
        <v>63</v>
      </c>
      <c r="I6" s="7" t="n">
        <f aca="false">LOOKUP(9.99E+307,B6:G6)</f>
        <v>75</v>
      </c>
      <c r="J6" s="11" t="n">
        <f aca="false">I6-H6</f>
        <v>12</v>
      </c>
    </row>
    <row r="7" customFormat="false" ht="15" hidden="false" customHeight="false" outlineLevel="0" collapsed="false">
      <c r="A7" s="6" t="s">
        <v>38</v>
      </c>
      <c r="B7" s="10" t="n">
        <v>59</v>
      </c>
      <c r="C7" s="10" t="n">
        <v>86</v>
      </c>
      <c r="D7" s="10" t="n">
        <v>76</v>
      </c>
      <c r="E7" s="10" t="n">
        <v>78</v>
      </c>
      <c r="F7" s="10" t="n">
        <v>87</v>
      </c>
      <c r="G7" s="10" t="n">
        <v>73</v>
      </c>
      <c r="H7" s="7" t="n">
        <f aca="false">B7</f>
        <v>59</v>
      </c>
      <c r="I7" s="7" t="n">
        <f aca="false">LOOKUP(9.99E+307,B7:G7)</f>
        <v>73</v>
      </c>
      <c r="J7" s="11" t="n">
        <f aca="false">I7-H7</f>
        <v>14</v>
      </c>
    </row>
    <row r="8" customFormat="false" ht="15" hidden="false" customHeight="false" outlineLevel="0" collapsed="false">
      <c r="A8" s="6" t="s">
        <v>39</v>
      </c>
      <c r="B8" s="10" t="n">
        <v>88</v>
      </c>
      <c r="C8" s="10" t="n">
        <v>94</v>
      </c>
      <c r="D8" s="10" t="n">
        <v>91</v>
      </c>
      <c r="E8" s="10" t="n">
        <v>94</v>
      </c>
      <c r="F8" s="10" t="n">
        <v>87</v>
      </c>
      <c r="G8" s="10" t="n">
        <v>100</v>
      </c>
      <c r="H8" s="7" t="n">
        <f aca="false">B8</f>
        <v>88</v>
      </c>
      <c r="I8" s="7" t="n">
        <f aca="false">LOOKUP(9.99E+307,B8:G8)</f>
        <v>100</v>
      </c>
      <c r="J8" s="11" t="n">
        <f aca="false">I8-H8</f>
        <v>12</v>
      </c>
    </row>
    <row r="9" customFormat="false" ht="15" hidden="false" customHeight="false" outlineLevel="0" collapsed="false">
      <c r="A9" s="6" t="s">
        <v>40</v>
      </c>
      <c r="B9" s="10" t="n">
        <v>67</v>
      </c>
      <c r="C9" s="10" t="n">
        <v>74</v>
      </c>
      <c r="D9" s="10" t="n">
        <v>71</v>
      </c>
      <c r="E9" s="10" t="n">
        <v>91</v>
      </c>
      <c r="F9" s="10" t="n">
        <v>88</v>
      </c>
      <c r="G9" s="10" t="n">
        <v>74</v>
      </c>
      <c r="H9" s="7" t="n">
        <f aca="false">B9</f>
        <v>67</v>
      </c>
      <c r="I9" s="7" t="n">
        <f aca="false">LOOKUP(9.99E+307,B9:G9)</f>
        <v>74</v>
      </c>
      <c r="J9" s="11" t="n">
        <f aca="false">I9-H9</f>
        <v>7</v>
      </c>
    </row>
    <row r="10" customFormat="false" ht="15" hidden="false" customHeight="false" outlineLevel="0" collapsed="false">
      <c r="A10" s="6" t="s">
        <v>41</v>
      </c>
      <c r="B10" s="10" t="n">
        <v>51</v>
      </c>
      <c r="C10" s="10" t="n">
        <v>57</v>
      </c>
      <c r="D10" s="10" t="n">
        <v>68</v>
      </c>
      <c r="E10" s="10" t="n">
        <v>86</v>
      </c>
      <c r="F10" s="10" t="n">
        <v>73</v>
      </c>
      <c r="G10" s="10" t="n">
        <v>82</v>
      </c>
      <c r="H10" s="7" t="n">
        <f aca="false">B10</f>
        <v>51</v>
      </c>
      <c r="I10" s="7" t="n">
        <f aca="false">LOOKUP(9.99E+307,B10:G10)</f>
        <v>82</v>
      </c>
      <c r="J10" s="11" t="n">
        <f aca="false">I10-H10</f>
        <v>31</v>
      </c>
    </row>
    <row r="11" customFormat="false" ht="15" hidden="false" customHeight="false" outlineLevel="0" collapsed="false">
      <c r="A11" s="6" t="s">
        <v>42</v>
      </c>
      <c r="B11" s="10" t="n">
        <v>62</v>
      </c>
      <c r="C11" s="10" t="n">
        <v>61</v>
      </c>
      <c r="D11" s="10" t="n">
        <v>69</v>
      </c>
      <c r="E11" s="10" t="n">
        <v>78</v>
      </c>
      <c r="F11" s="10" t="n">
        <v>73</v>
      </c>
      <c r="G11" s="10" t="n">
        <v>71</v>
      </c>
      <c r="H11" s="7" t="n">
        <f aca="false">B11</f>
        <v>62</v>
      </c>
      <c r="I11" s="7" t="n">
        <f aca="false">LOOKUP(9.99E+307,B11:G11)</f>
        <v>71</v>
      </c>
      <c r="J11" s="11" t="n">
        <f aca="false">I11-H11</f>
        <v>9</v>
      </c>
    </row>
    <row r="12" customFormat="false" ht="15" hidden="false" customHeight="false" outlineLevel="0" collapsed="false">
      <c r="A12" s="12" t="s">
        <v>43</v>
      </c>
      <c r="B12" s="13" t="n">
        <f aca="false">IF(COUNT(B6:B11)=0,"",AVERAGE(B6:B11))</f>
        <v>65</v>
      </c>
      <c r="C12" s="13" t="n">
        <f aca="false">IF(COUNT(C6:C11)=0,"",AVERAGE(C6:C11))</f>
        <v>73.1666666666667</v>
      </c>
      <c r="D12" s="13" t="n">
        <f aca="false">IF(COUNT(D6:D11)=0,"",AVERAGE(D6:D11))</f>
        <v>73.8333333333333</v>
      </c>
      <c r="E12" s="13" t="n">
        <f aca="false">IF(COUNT(E6:E11)=0,"",AVERAGE(E6:E11))</f>
        <v>81.3333333333333</v>
      </c>
      <c r="F12" s="13" t="n">
        <f aca="false">IF(COUNT(F6:F11)=0,"",AVERAGE(F6:F11))</f>
        <v>79</v>
      </c>
      <c r="G12" s="13" t="n">
        <f aca="false">IF(COUNT(G6:G11)=0,"",AVERAGE(G6:G11))</f>
        <v>79.1666666666667</v>
      </c>
      <c r="H12" s="13" t="n">
        <f aca="false">B12</f>
        <v>65</v>
      </c>
      <c r="I12" s="13" t="n">
        <f aca="false">LOOKUP(9.99E+307,B12:G12)</f>
        <v>79.1666666666667</v>
      </c>
      <c r="J12" s="14" t="n">
        <f aca="false">I12-H12</f>
        <v>14.1666666666667</v>
      </c>
    </row>
    <row r="14" customFormat="false" ht="15" hidden="false" customHeight="false" outlineLevel="0" collapsed="false">
      <c r="A14" s="4" t="s">
        <v>44</v>
      </c>
    </row>
    <row r="15" customFormat="false" ht="33.75" hidden="false" customHeight="true" outlineLevel="0" collapsed="false">
      <c r="A15" s="5" t="s">
        <v>28</v>
      </c>
      <c r="B15" s="5" t="s">
        <v>29</v>
      </c>
      <c r="C15" s="5" t="s">
        <v>30</v>
      </c>
      <c r="D15" s="5" t="s">
        <v>31</v>
      </c>
      <c r="E15" s="5" t="s">
        <v>32</v>
      </c>
      <c r="F15" s="5" t="s">
        <v>33</v>
      </c>
      <c r="G15" s="5" t="s">
        <v>34</v>
      </c>
      <c r="H15" s="5" t="s">
        <v>35</v>
      </c>
      <c r="I15" s="5" t="s">
        <v>36</v>
      </c>
      <c r="J15" s="5" t="s">
        <v>19</v>
      </c>
    </row>
    <row r="16" customFormat="false" ht="15" hidden="false" customHeight="false" outlineLevel="0" collapsed="false">
      <c r="A16" s="6" t="s">
        <v>37</v>
      </c>
      <c r="B16" s="10" t="n">
        <v>14</v>
      </c>
      <c r="C16" s="10"/>
      <c r="D16" s="10" t="n">
        <v>16</v>
      </c>
      <c r="E16" s="10" t="n">
        <v>16</v>
      </c>
      <c r="F16" s="10" t="n">
        <v>15</v>
      </c>
      <c r="G16" s="10" t="n">
        <v>16</v>
      </c>
      <c r="H16" s="7" t="n">
        <f aca="false">B16</f>
        <v>14</v>
      </c>
      <c r="I16" s="7" t="n">
        <f aca="false">LOOKUP(9.99E+307,B16:G16)</f>
        <v>16</v>
      </c>
      <c r="J16" s="11" t="n">
        <f aca="false">I16-H16</f>
        <v>2</v>
      </c>
    </row>
    <row r="17" customFormat="false" ht="15" hidden="false" customHeight="false" outlineLevel="0" collapsed="false">
      <c r="A17" s="6" t="s">
        <v>38</v>
      </c>
      <c r="B17" s="10" t="n">
        <v>17</v>
      </c>
      <c r="C17" s="10"/>
      <c r="D17" s="10" t="n">
        <v>17</v>
      </c>
      <c r="E17" s="10" t="n">
        <v>15</v>
      </c>
      <c r="F17" s="10" t="n">
        <v>17</v>
      </c>
      <c r="G17" s="10" t="n">
        <v>17</v>
      </c>
      <c r="H17" s="7" t="n">
        <f aca="false">B17</f>
        <v>17</v>
      </c>
      <c r="I17" s="7" t="n">
        <f aca="false">LOOKUP(9.99E+307,B17:G17)</f>
        <v>17</v>
      </c>
      <c r="J17" s="11" t="n">
        <f aca="false">I17-H17</f>
        <v>0</v>
      </c>
    </row>
    <row r="18" customFormat="false" ht="15" hidden="false" customHeight="false" outlineLevel="0" collapsed="false">
      <c r="A18" s="6" t="s">
        <v>39</v>
      </c>
      <c r="B18" s="10" t="n">
        <v>17</v>
      </c>
      <c r="C18" s="10"/>
      <c r="D18" s="10" t="n">
        <v>17</v>
      </c>
      <c r="E18" s="10" t="n">
        <v>17</v>
      </c>
      <c r="F18" s="10" t="n">
        <v>17</v>
      </c>
      <c r="G18" s="10" t="n">
        <v>17</v>
      </c>
      <c r="H18" s="7" t="n">
        <f aca="false">B18</f>
        <v>17</v>
      </c>
      <c r="I18" s="7" t="n">
        <f aca="false">LOOKUP(9.99E+307,B18:G18)</f>
        <v>17</v>
      </c>
      <c r="J18" s="11" t="n">
        <f aca="false">I18-H18</f>
        <v>0</v>
      </c>
    </row>
    <row r="19" customFormat="false" ht="15" hidden="false" customHeight="false" outlineLevel="0" collapsed="false">
      <c r="A19" s="6" t="s">
        <v>40</v>
      </c>
      <c r="B19" s="10" t="n">
        <v>15</v>
      </c>
      <c r="C19" s="10"/>
      <c r="D19" s="10" t="n">
        <v>15</v>
      </c>
      <c r="E19" s="10" t="n">
        <v>17</v>
      </c>
      <c r="F19" s="10" t="n">
        <v>17</v>
      </c>
      <c r="G19" s="10" t="n">
        <v>15</v>
      </c>
      <c r="H19" s="7" t="n">
        <f aca="false">B19</f>
        <v>15</v>
      </c>
      <c r="I19" s="7" t="n">
        <f aca="false">LOOKUP(9.99E+307,B19:G19)</f>
        <v>15</v>
      </c>
      <c r="J19" s="11" t="n">
        <f aca="false">I19-H19</f>
        <v>0</v>
      </c>
    </row>
    <row r="20" customFormat="false" ht="15" hidden="false" customHeight="false" outlineLevel="0" collapsed="false">
      <c r="A20" s="6" t="s">
        <v>41</v>
      </c>
      <c r="B20" s="10" t="n">
        <v>16</v>
      </c>
      <c r="C20" s="10"/>
      <c r="D20" s="10" t="n">
        <v>16</v>
      </c>
      <c r="E20" s="10" t="n">
        <v>16</v>
      </c>
      <c r="F20" s="10" t="n">
        <v>17</v>
      </c>
      <c r="G20" s="10" t="n">
        <v>17</v>
      </c>
      <c r="H20" s="7" t="n">
        <f aca="false">B20</f>
        <v>16</v>
      </c>
      <c r="I20" s="7" t="n">
        <f aca="false">LOOKUP(9.99E+307,B20:G20)</f>
        <v>17</v>
      </c>
      <c r="J20" s="11" t="n">
        <f aca="false">I20-H20</f>
        <v>1</v>
      </c>
    </row>
    <row r="21" customFormat="false" ht="15" hidden="false" customHeight="false" outlineLevel="0" collapsed="false">
      <c r="A21" s="6" t="s">
        <v>42</v>
      </c>
      <c r="B21" s="10"/>
      <c r="C21" s="10"/>
      <c r="D21" s="10" t="n">
        <v>16</v>
      </c>
      <c r="E21" s="10" t="n">
        <v>17</v>
      </c>
      <c r="F21" s="10" t="n">
        <v>17</v>
      </c>
      <c r="G21" s="10" t="n">
        <v>16</v>
      </c>
      <c r="H21" s="7" t="n">
        <f aca="false">D21</f>
        <v>16</v>
      </c>
      <c r="I21" s="7" t="n">
        <f aca="false">LOOKUP(9.99E+307,B21:G21)</f>
        <v>16</v>
      </c>
      <c r="J21" s="11" t="n">
        <f aca="false">I21-H21</f>
        <v>0</v>
      </c>
    </row>
    <row r="22" customFormat="false" ht="15" hidden="false" customHeight="false" outlineLevel="0" collapsed="false">
      <c r="A22" s="12" t="s">
        <v>43</v>
      </c>
      <c r="B22" s="13" t="n">
        <f aca="false">IF(COUNT(B16:B21)=0,"",AVERAGE(B16:B21))</f>
        <v>15.8</v>
      </c>
      <c r="C22" s="13" t="str">
        <f aca="false">IF(COUNT(C16:C21)=0,"",AVERAGE(C16:C21))</f>
        <v/>
      </c>
      <c r="D22" s="13" t="n">
        <f aca="false">IF(COUNT(D16:D21)=0,"",AVERAGE(D16:D21))</f>
        <v>16.1666666666667</v>
      </c>
      <c r="E22" s="13" t="n">
        <f aca="false">IF(COUNT(E16:E21)=0,"",AVERAGE(E16:E21))</f>
        <v>16.3333333333333</v>
      </c>
      <c r="F22" s="13" t="n">
        <f aca="false">IF(COUNT(F16:F21)=0,"",AVERAGE(F16:F21))</f>
        <v>16.6666666666667</v>
      </c>
      <c r="G22" s="13" t="n">
        <f aca="false">IF(COUNT(G16:G21)=0,"",AVERAGE(G16:G21))</f>
        <v>16.3333333333333</v>
      </c>
      <c r="H22" s="13" t="n">
        <f aca="false">B22</f>
        <v>15.8</v>
      </c>
      <c r="I22" s="13" t="n">
        <f aca="false">LOOKUP(9.99E+307,B22:G22)</f>
        <v>16.3333333333333</v>
      </c>
      <c r="J22" s="14" t="n">
        <f aca="false">I22-H22</f>
        <v>0.533333333333331</v>
      </c>
    </row>
    <row r="24" customFormat="false" ht="15" hidden="false" customHeight="false" outlineLevel="0" collapsed="false">
      <c r="A24" s="4" t="s">
        <v>45</v>
      </c>
    </row>
    <row r="25" customFormat="false" ht="33.75" hidden="false" customHeight="true" outlineLevel="0" collapsed="false">
      <c r="A25" s="5" t="s">
        <v>28</v>
      </c>
      <c r="B25" s="5" t="s">
        <v>29</v>
      </c>
      <c r="C25" s="5" t="s">
        <v>30</v>
      </c>
      <c r="D25" s="5" t="s">
        <v>31</v>
      </c>
      <c r="E25" s="5" t="s">
        <v>32</v>
      </c>
      <c r="F25" s="5" t="s">
        <v>33</v>
      </c>
      <c r="G25" s="5" t="s">
        <v>34</v>
      </c>
      <c r="H25" s="5" t="s">
        <v>35</v>
      </c>
      <c r="I25" s="5" t="s">
        <v>36</v>
      </c>
      <c r="J25" s="5" t="s">
        <v>19</v>
      </c>
    </row>
    <row r="26" customFormat="false" ht="15" hidden="false" customHeight="false" outlineLevel="0" collapsed="false">
      <c r="A26" s="6" t="s">
        <v>37</v>
      </c>
      <c r="B26" s="10" t="n">
        <v>16</v>
      </c>
      <c r="C26" s="10"/>
      <c r="D26" s="10" t="n">
        <v>16</v>
      </c>
      <c r="E26" s="10" t="n">
        <v>13</v>
      </c>
      <c r="F26" s="10" t="n">
        <v>16</v>
      </c>
      <c r="G26" s="10" t="n">
        <v>18</v>
      </c>
      <c r="H26" s="7" t="n">
        <f aca="false">B26</f>
        <v>16</v>
      </c>
      <c r="I26" s="7" t="n">
        <f aca="false">LOOKUP(9.99E+307,B26:G26)</f>
        <v>18</v>
      </c>
      <c r="J26" s="11" t="n">
        <f aca="false">I26-H26</f>
        <v>2</v>
      </c>
    </row>
    <row r="27" customFormat="false" ht="15" hidden="false" customHeight="false" outlineLevel="0" collapsed="false">
      <c r="A27" s="6" t="s">
        <v>38</v>
      </c>
      <c r="B27" s="10" t="n">
        <v>11</v>
      </c>
      <c r="C27" s="10"/>
      <c r="D27" s="10" t="n">
        <v>18</v>
      </c>
      <c r="E27" s="10" t="n">
        <v>21</v>
      </c>
      <c r="F27" s="10" t="n">
        <v>23</v>
      </c>
      <c r="G27" s="10" t="n">
        <v>17</v>
      </c>
      <c r="H27" s="7" t="n">
        <f aca="false">B27</f>
        <v>11</v>
      </c>
      <c r="I27" s="7" t="n">
        <f aca="false">LOOKUP(9.99E+307,B27:G27)</f>
        <v>17</v>
      </c>
      <c r="J27" s="11" t="n">
        <f aca="false">I27-H27</f>
        <v>6</v>
      </c>
    </row>
    <row r="28" customFormat="false" ht="15" hidden="false" customHeight="false" outlineLevel="0" collapsed="false">
      <c r="A28" s="6" t="s">
        <v>39</v>
      </c>
      <c r="B28" s="10" t="n">
        <v>23</v>
      </c>
      <c r="C28" s="10"/>
      <c r="D28" s="10" t="n">
        <v>24</v>
      </c>
      <c r="E28" s="10" t="n">
        <v>26</v>
      </c>
      <c r="F28" s="10" t="n">
        <v>23</v>
      </c>
      <c r="G28" s="10" t="n">
        <v>28</v>
      </c>
      <c r="H28" s="7" t="n">
        <f aca="false">B28</f>
        <v>23</v>
      </c>
      <c r="I28" s="7" t="n">
        <f aca="false">LOOKUP(9.99E+307,B28:G28)</f>
        <v>28</v>
      </c>
      <c r="J28" s="11" t="n">
        <f aca="false">I28-H28</f>
        <v>5</v>
      </c>
    </row>
    <row r="29" customFormat="false" ht="15" hidden="false" customHeight="false" outlineLevel="0" collapsed="false">
      <c r="A29" s="6" t="s">
        <v>40</v>
      </c>
      <c r="B29" s="10" t="n">
        <v>17</v>
      </c>
      <c r="C29" s="10"/>
      <c r="D29" s="10" t="n">
        <v>18</v>
      </c>
      <c r="E29" s="10" t="n">
        <v>24</v>
      </c>
      <c r="F29" s="10" t="n">
        <v>24</v>
      </c>
      <c r="G29" s="10" t="n">
        <v>20</v>
      </c>
      <c r="H29" s="7" t="n">
        <f aca="false">B29</f>
        <v>17</v>
      </c>
      <c r="I29" s="7" t="n">
        <f aca="false">LOOKUP(9.99E+307,B29:G29)</f>
        <v>20</v>
      </c>
      <c r="J29" s="11" t="n">
        <f aca="false">I29-H29</f>
        <v>3</v>
      </c>
    </row>
    <row r="30" customFormat="false" ht="15" hidden="false" customHeight="false" outlineLevel="0" collapsed="false">
      <c r="A30" s="6" t="s">
        <v>41</v>
      </c>
      <c r="B30" s="10" t="n">
        <v>8</v>
      </c>
      <c r="C30" s="10"/>
      <c r="D30" s="10" t="n">
        <v>16</v>
      </c>
      <c r="E30" s="10" t="n">
        <v>23</v>
      </c>
      <c r="F30" s="10" t="n">
        <v>18</v>
      </c>
      <c r="G30" s="10" t="n">
        <v>21</v>
      </c>
      <c r="H30" s="7" t="n">
        <f aca="false">B30</f>
        <v>8</v>
      </c>
      <c r="I30" s="7" t="n">
        <f aca="false">LOOKUP(9.99E+307,B30:G30)</f>
        <v>21</v>
      </c>
      <c r="J30" s="11" t="n">
        <f aca="false">I30-H30</f>
        <v>13</v>
      </c>
    </row>
    <row r="31" customFormat="false" ht="15" hidden="false" customHeight="false" outlineLevel="0" collapsed="false">
      <c r="A31" s="6" t="s">
        <v>42</v>
      </c>
      <c r="B31" s="10"/>
      <c r="C31" s="10"/>
      <c r="D31" s="10" t="n">
        <v>16</v>
      </c>
      <c r="E31" s="10" t="n">
        <v>19</v>
      </c>
      <c r="F31" s="10" t="n">
        <v>17</v>
      </c>
      <c r="G31" s="10" t="n">
        <v>18</v>
      </c>
      <c r="H31" s="7" t="n">
        <f aca="false">D31</f>
        <v>16</v>
      </c>
      <c r="I31" s="7" t="n">
        <f aca="false">LOOKUP(9.99E+307,B31:G31)</f>
        <v>18</v>
      </c>
      <c r="J31" s="11" t="n">
        <f aca="false">I31-H31</f>
        <v>2</v>
      </c>
    </row>
    <row r="32" customFormat="false" ht="15" hidden="false" customHeight="false" outlineLevel="0" collapsed="false">
      <c r="A32" s="12" t="s">
        <v>43</v>
      </c>
      <c r="B32" s="13" t="n">
        <f aca="false">IF(COUNT(B26:B31)=0,"",AVERAGE(B26:B31))</f>
        <v>15</v>
      </c>
      <c r="C32" s="13" t="str">
        <f aca="false">IF(COUNT(C26:C31)=0,"",AVERAGE(C26:C31))</f>
        <v/>
      </c>
      <c r="D32" s="13" t="n">
        <f aca="false">IF(COUNT(D26:D31)=0,"",AVERAGE(D26:D31))</f>
        <v>18</v>
      </c>
      <c r="E32" s="13" t="n">
        <f aca="false">IF(COUNT(E26:E31)=0,"",AVERAGE(E26:E31))</f>
        <v>21</v>
      </c>
      <c r="F32" s="13" t="n">
        <f aca="false">IF(COUNT(F26:F31)=0,"",AVERAGE(F26:F31))</f>
        <v>20.1666666666667</v>
      </c>
      <c r="G32" s="13" t="n">
        <f aca="false">IF(COUNT(G26:G31)=0,"",AVERAGE(G26:G31))</f>
        <v>20.3333333333333</v>
      </c>
      <c r="H32" s="13" t="n">
        <f aca="false">B32</f>
        <v>15</v>
      </c>
      <c r="I32" s="13" t="n">
        <f aca="false">LOOKUP(9.99E+307,B32:G32)</f>
        <v>20.3333333333333</v>
      </c>
      <c r="J32" s="14" t="n">
        <f aca="false">I32-H32</f>
        <v>5.33333333333333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2"/>
  </cols>
  <sheetData>
    <row r="1" customFormat="false" ht="19.4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4" t="s">
        <v>27</v>
      </c>
    </row>
    <row r="5" customFormat="false" ht="33.75" hidden="false" customHeight="true" outlineLevel="0" collapsed="false">
      <c r="A5" s="5" t="s">
        <v>28</v>
      </c>
      <c r="B5" s="5" t="s">
        <v>48</v>
      </c>
      <c r="C5" s="5" t="s">
        <v>35</v>
      </c>
      <c r="D5" s="5" t="s">
        <v>36</v>
      </c>
      <c r="E5" s="5" t="s">
        <v>19</v>
      </c>
    </row>
    <row r="6" customFormat="false" ht="15" hidden="false" customHeight="false" outlineLevel="0" collapsed="false">
      <c r="A6" s="6" t="s">
        <v>37</v>
      </c>
      <c r="B6" s="10" t="n">
        <v>77</v>
      </c>
      <c r="C6" s="7" t="n">
        <f aca="false">B6</f>
        <v>77</v>
      </c>
      <c r="D6" s="7" t="n">
        <f aca="false">LOOKUP(9.99E+307,B6:B6)</f>
        <v>77</v>
      </c>
      <c r="E6" s="11" t="n">
        <f aca="false">D6-C6</f>
        <v>0</v>
      </c>
    </row>
    <row r="7" customFormat="false" ht="15" hidden="false" customHeight="false" outlineLevel="0" collapsed="false">
      <c r="A7" s="6" t="s">
        <v>38</v>
      </c>
      <c r="B7" s="10" t="n">
        <v>76</v>
      </c>
      <c r="C7" s="7" t="n">
        <f aca="false">B7</f>
        <v>76</v>
      </c>
      <c r="D7" s="7" t="n">
        <f aca="false">LOOKUP(9.99E+307,B7:B7)</f>
        <v>76</v>
      </c>
      <c r="E7" s="11" t="n">
        <f aca="false">D7-C7</f>
        <v>0</v>
      </c>
    </row>
    <row r="8" customFormat="false" ht="15" hidden="false" customHeight="false" outlineLevel="0" collapsed="false">
      <c r="A8" s="6" t="s">
        <v>39</v>
      </c>
      <c r="B8" s="10" t="n">
        <v>95</v>
      </c>
      <c r="C8" s="7" t="n">
        <f aca="false">B8</f>
        <v>95</v>
      </c>
      <c r="D8" s="7" t="n">
        <f aca="false">LOOKUP(9.99E+307,B8:B8)</f>
        <v>95</v>
      </c>
      <c r="E8" s="11" t="n">
        <f aca="false">D8-C8</f>
        <v>0</v>
      </c>
    </row>
    <row r="9" customFormat="false" ht="15" hidden="false" customHeight="false" outlineLevel="0" collapsed="false">
      <c r="A9" s="6" t="s">
        <v>40</v>
      </c>
      <c r="B9" s="10" t="n">
        <v>82</v>
      </c>
      <c r="C9" s="7" t="n">
        <f aca="false">B9</f>
        <v>82</v>
      </c>
      <c r="D9" s="7" t="n">
        <f aca="false">LOOKUP(9.99E+307,B9:B9)</f>
        <v>82</v>
      </c>
      <c r="E9" s="11" t="n">
        <f aca="false">D9-C9</f>
        <v>0</v>
      </c>
    </row>
    <row r="10" customFormat="false" ht="15" hidden="false" customHeight="false" outlineLevel="0" collapsed="false">
      <c r="A10" s="6" t="s">
        <v>41</v>
      </c>
      <c r="B10" s="10" t="n">
        <v>80</v>
      </c>
      <c r="C10" s="7" t="n">
        <f aca="false">B10</f>
        <v>80</v>
      </c>
      <c r="D10" s="7" t="n">
        <f aca="false">LOOKUP(9.99E+307,B10:B10)</f>
        <v>80</v>
      </c>
      <c r="E10" s="11" t="n">
        <f aca="false">D10-C10</f>
        <v>0</v>
      </c>
    </row>
    <row r="11" customFormat="false" ht="15" hidden="false" customHeight="false" outlineLevel="0" collapsed="false">
      <c r="A11" s="6" t="s">
        <v>42</v>
      </c>
      <c r="B11" s="10" t="n">
        <v>77</v>
      </c>
      <c r="C11" s="7" t="n">
        <f aca="false">B11</f>
        <v>77</v>
      </c>
      <c r="D11" s="7" t="n">
        <f aca="false">LOOKUP(9.99E+307,B11:B11)</f>
        <v>77</v>
      </c>
      <c r="E11" s="11" t="n">
        <f aca="false">D11-C11</f>
        <v>0</v>
      </c>
    </row>
    <row r="12" customFormat="false" ht="15" hidden="false" customHeight="false" outlineLevel="0" collapsed="false">
      <c r="A12" s="12" t="s">
        <v>43</v>
      </c>
      <c r="B12" s="13" t="n">
        <f aca="false">IF(COUNT(B6:B11)=0,"",AVERAGE(B6:B11))</f>
        <v>81.1666666666667</v>
      </c>
      <c r="C12" s="13" t="n">
        <f aca="false">B12</f>
        <v>81.1666666666667</v>
      </c>
      <c r="D12" s="13" t="n">
        <f aca="false">LOOKUP(9.99E+307,B12:B12)</f>
        <v>81.1666666666667</v>
      </c>
      <c r="E12" s="14" t="n">
        <f aca="false">D12-C12</f>
        <v>0</v>
      </c>
    </row>
    <row r="14" customFormat="false" ht="15" hidden="false" customHeight="false" outlineLevel="0" collapsed="false">
      <c r="A14" s="4" t="s">
        <v>44</v>
      </c>
    </row>
    <row r="15" customFormat="false" ht="33.75" hidden="false" customHeight="true" outlineLevel="0" collapsed="false">
      <c r="A15" s="5" t="s">
        <v>28</v>
      </c>
      <c r="B15" s="5" t="s">
        <v>48</v>
      </c>
      <c r="C15" s="5" t="s">
        <v>35</v>
      </c>
      <c r="D15" s="5" t="s">
        <v>36</v>
      </c>
      <c r="E15" s="5" t="s">
        <v>19</v>
      </c>
    </row>
    <row r="16" customFormat="false" ht="15" hidden="false" customHeight="false" outlineLevel="0" collapsed="false">
      <c r="A16" s="6" t="s">
        <v>37</v>
      </c>
      <c r="B16" s="10" t="n">
        <v>17</v>
      </c>
      <c r="C16" s="7" t="n">
        <f aca="false">B16</f>
        <v>17</v>
      </c>
      <c r="D16" s="7" t="n">
        <f aca="false">LOOKUP(9.99E+307,B16:B16)</f>
        <v>17</v>
      </c>
      <c r="E16" s="11" t="n">
        <f aca="false">D16-C16</f>
        <v>0</v>
      </c>
    </row>
    <row r="17" customFormat="false" ht="15" hidden="false" customHeight="false" outlineLevel="0" collapsed="false">
      <c r="A17" s="6" t="s">
        <v>38</v>
      </c>
      <c r="B17" s="10" t="n">
        <v>16</v>
      </c>
      <c r="C17" s="7" t="n">
        <f aca="false">B17</f>
        <v>16</v>
      </c>
      <c r="D17" s="7" t="n">
        <f aca="false">LOOKUP(9.99E+307,B17:B17)</f>
        <v>16</v>
      </c>
      <c r="E17" s="11" t="n">
        <f aca="false">D17-C17</f>
        <v>0</v>
      </c>
    </row>
    <row r="18" customFormat="false" ht="15" hidden="false" customHeight="false" outlineLevel="0" collapsed="false">
      <c r="A18" s="6" t="s">
        <v>39</v>
      </c>
      <c r="B18" s="10" t="n">
        <v>17</v>
      </c>
      <c r="C18" s="7" t="n">
        <f aca="false">B18</f>
        <v>17</v>
      </c>
      <c r="D18" s="7" t="n">
        <f aca="false">LOOKUP(9.99E+307,B18:B18)</f>
        <v>17</v>
      </c>
      <c r="E18" s="11" t="n">
        <f aca="false">D18-C18</f>
        <v>0</v>
      </c>
    </row>
    <row r="19" customFormat="false" ht="15" hidden="false" customHeight="false" outlineLevel="0" collapsed="false">
      <c r="A19" s="6" t="s">
        <v>40</v>
      </c>
      <c r="B19" s="10" t="n">
        <v>17</v>
      </c>
      <c r="C19" s="7" t="n">
        <f aca="false">B19</f>
        <v>17</v>
      </c>
      <c r="D19" s="7" t="n">
        <f aca="false">LOOKUP(9.99E+307,B19:B19)</f>
        <v>17</v>
      </c>
      <c r="E19" s="11" t="n">
        <f aca="false">D19-C19</f>
        <v>0</v>
      </c>
    </row>
    <row r="20" customFormat="false" ht="15" hidden="false" customHeight="false" outlineLevel="0" collapsed="false">
      <c r="A20" s="6" t="s">
        <v>41</v>
      </c>
      <c r="B20" s="10" t="n">
        <v>17</v>
      </c>
      <c r="C20" s="7" t="n">
        <f aca="false">B20</f>
        <v>17</v>
      </c>
      <c r="D20" s="7" t="n">
        <f aca="false">LOOKUP(9.99E+307,B20:B20)</f>
        <v>17</v>
      </c>
      <c r="E20" s="11" t="n">
        <f aca="false">D20-C20</f>
        <v>0</v>
      </c>
    </row>
    <row r="21" customFormat="false" ht="15" hidden="false" customHeight="false" outlineLevel="0" collapsed="false">
      <c r="A21" s="6" t="s">
        <v>42</v>
      </c>
      <c r="B21" s="10" t="n">
        <v>17</v>
      </c>
      <c r="C21" s="7" t="n">
        <f aca="false">B21</f>
        <v>17</v>
      </c>
      <c r="D21" s="7" t="n">
        <f aca="false">LOOKUP(9.99E+307,B21:B21)</f>
        <v>17</v>
      </c>
      <c r="E21" s="11" t="n">
        <f aca="false">D21-C21</f>
        <v>0</v>
      </c>
    </row>
    <row r="22" customFormat="false" ht="15" hidden="false" customHeight="false" outlineLevel="0" collapsed="false">
      <c r="A22" s="12" t="s">
        <v>43</v>
      </c>
      <c r="B22" s="13" t="n">
        <f aca="false">IF(COUNT(B16:B21)=0,"",AVERAGE(B16:B21))</f>
        <v>16.8333333333333</v>
      </c>
      <c r="C22" s="13" t="n">
        <f aca="false">B22</f>
        <v>16.8333333333333</v>
      </c>
      <c r="D22" s="13" t="n">
        <f aca="false">LOOKUP(9.99E+307,B22:B22)</f>
        <v>16.8333333333333</v>
      </c>
      <c r="E22" s="14" t="n">
        <f aca="false">D22-C22</f>
        <v>0</v>
      </c>
    </row>
    <row r="24" customFormat="false" ht="15" hidden="false" customHeight="false" outlineLevel="0" collapsed="false">
      <c r="A24" s="4" t="s">
        <v>45</v>
      </c>
    </row>
    <row r="25" customFormat="false" ht="33.75" hidden="false" customHeight="true" outlineLevel="0" collapsed="false">
      <c r="A25" s="5" t="s">
        <v>28</v>
      </c>
      <c r="B25" s="5" t="s">
        <v>48</v>
      </c>
      <c r="C25" s="5" t="s">
        <v>35</v>
      </c>
      <c r="D25" s="5" t="s">
        <v>36</v>
      </c>
      <c r="E25" s="5" t="s">
        <v>19</v>
      </c>
    </row>
    <row r="26" customFormat="false" ht="15" hidden="false" customHeight="false" outlineLevel="0" collapsed="false">
      <c r="A26" s="6" t="s">
        <v>37</v>
      </c>
      <c r="B26" s="10" t="n">
        <v>19</v>
      </c>
      <c r="C26" s="7" t="n">
        <f aca="false">B26</f>
        <v>19</v>
      </c>
      <c r="D26" s="7" t="n">
        <f aca="false">LOOKUP(9.99E+307,B26:B26)</f>
        <v>19</v>
      </c>
      <c r="E26" s="11" t="n">
        <f aca="false">D26-C26</f>
        <v>0</v>
      </c>
    </row>
    <row r="27" customFormat="false" ht="15" hidden="false" customHeight="false" outlineLevel="0" collapsed="false">
      <c r="A27" s="6" t="s">
        <v>38</v>
      </c>
      <c r="B27" s="10" t="n">
        <v>19</v>
      </c>
      <c r="C27" s="7" t="n">
        <f aca="false">B27</f>
        <v>19</v>
      </c>
      <c r="D27" s="7" t="n">
        <f aca="false">LOOKUP(9.99E+307,B27:B27)</f>
        <v>19</v>
      </c>
      <c r="E27" s="11" t="n">
        <f aca="false">D27-C27</f>
        <v>0</v>
      </c>
    </row>
    <row r="28" customFormat="false" ht="15" hidden="false" customHeight="false" outlineLevel="0" collapsed="false">
      <c r="A28" s="6" t="s">
        <v>39</v>
      </c>
      <c r="B28" s="10" t="n">
        <v>26</v>
      </c>
      <c r="C28" s="7" t="n">
        <f aca="false">B28</f>
        <v>26</v>
      </c>
      <c r="D28" s="7" t="n">
        <f aca="false">LOOKUP(9.99E+307,B28:B28)</f>
        <v>26</v>
      </c>
      <c r="E28" s="11" t="n">
        <f aca="false">D28-C28</f>
        <v>0</v>
      </c>
    </row>
    <row r="29" customFormat="false" ht="15" hidden="false" customHeight="false" outlineLevel="0" collapsed="false">
      <c r="A29" s="6" t="s">
        <v>40</v>
      </c>
      <c r="B29" s="10" t="n">
        <v>21</v>
      </c>
      <c r="C29" s="7" t="n">
        <f aca="false">B29</f>
        <v>21</v>
      </c>
      <c r="D29" s="7" t="n">
        <f aca="false">LOOKUP(9.99E+307,B29:B29)</f>
        <v>21</v>
      </c>
      <c r="E29" s="11" t="n">
        <f aca="false">D29-C29</f>
        <v>0</v>
      </c>
    </row>
    <row r="30" customFormat="false" ht="15" hidden="false" customHeight="false" outlineLevel="0" collapsed="false">
      <c r="A30" s="6" t="s">
        <v>41</v>
      </c>
      <c r="B30" s="10" t="n">
        <v>20</v>
      </c>
      <c r="C30" s="7" t="n">
        <f aca="false">B30</f>
        <v>20</v>
      </c>
      <c r="D30" s="7" t="n">
        <f aca="false">LOOKUP(9.99E+307,B30:B30)</f>
        <v>20</v>
      </c>
      <c r="E30" s="11" t="n">
        <f aca="false">D30-C30</f>
        <v>0</v>
      </c>
    </row>
    <row r="31" customFormat="false" ht="15" hidden="false" customHeight="false" outlineLevel="0" collapsed="false">
      <c r="A31" s="6" t="s">
        <v>42</v>
      </c>
      <c r="B31" s="10" t="n">
        <v>19</v>
      </c>
      <c r="C31" s="7" t="n">
        <f aca="false">B31</f>
        <v>19</v>
      </c>
      <c r="D31" s="7" t="n">
        <f aca="false">LOOKUP(9.99E+307,B31:B31)</f>
        <v>19</v>
      </c>
      <c r="E31" s="11" t="n">
        <f aca="false">D31-C31</f>
        <v>0</v>
      </c>
    </row>
    <row r="32" customFormat="false" ht="15" hidden="false" customHeight="false" outlineLevel="0" collapsed="false">
      <c r="A32" s="12" t="s">
        <v>43</v>
      </c>
      <c r="B32" s="13" t="n">
        <f aca="false">IF(COUNT(B26:B31)=0,"",AVERAGE(B26:B31))</f>
        <v>20.6666666666667</v>
      </c>
      <c r="C32" s="13" t="n">
        <f aca="false">B32</f>
        <v>20.6666666666667</v>
      </c>
      <c r="D32" s="13" t="n">
        <f aca="false">LOOKUP(9.99E+307,B32:B32)</f>
        <v>20.6666666666667</v>
      </c>
      <c r="E32" s="14" t="n">
        <f aca="false">D32-C32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2026-10-28T04:59:05Z</dcterms:created>
  <dc:creator>openpyxl</dc:creator>
  <dc:description/>
  <dc:language>en-US</dc:language>
  <cp:lastModifiedBy/>
  <dcterms:modified xsi:type="dcterms:W3CDTF">2026-10-28T04:59:07Z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