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요약" sheetId="2" state="visible" r:id="rId4"/>
    <sheet name="고1 모의고사" sheetId="3" state="visible" r:id="rId5"/>
    <sheet name="고2 모의고사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1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B31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C16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C17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C18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C19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C20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C21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C26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C27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C28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C29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C30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C31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</commentList>
</comments>
</file>

<file path=xl/sharedStrings.xml><?xml version="1.0" encoding="utf-8"?>
<sst xmlns="http://schemas.openxmlformats.org/spreadsheetml/2006/main" count="129" uniqueCount="49">
  <si>
    <r>
      <rPr>
        <b val="true"/>
        <sz val="14"/>
        <rFont val="WenQuanYi Zen Hei"/>
        <family val="2"/>
      </rPr>
      <t xml:space="preserve">이서연 반 시험 수준별 성적 변화 </t>
    </r>
    <r>
      <rPr>
        <b val="true"/>
        <sz val="14"/>
        <rFont val="Arial"/>
        <family val="0"/>
        <charset val="1"/>
      </rPr>
      <t xml:space="preserve">(2025–2026)</t>
    </r>
  </si>
  <si>
    <r>
      <rPr>
        <sz val="9"/>
        <color rgb="FF666666"/>
        <rFont val="WenQuanYi Zen Hei"/>
        <family val="2"/>
      </rPr>
      <t xml:space="preserve">대상</t>
    </r>
    <r>
      <rPr>
        <sz val="9"/>
        <color rgb="FF666666"/>
        <rFont val="Arial"/>
        <family val="0"/>
        <charset val="1"/>
      </rPr>
      <t xml:space="preserve">: 2025 1M-A</t>
    </r>
    <r>
      <rPr>
        <sz val="9"/>
        <color rgb="FF666666"/>
        <rFont val="WenQuanYi Zen Hei"/>
        <family val="2"/>
      </rPr>
      <t xml:space="preserve">에서 </t>
    </r>
    <r>
      <rPr>
        <sz val="9"/>
        <color rgb="FF666666"/>
        <rFont val="Arial"/>
        <family val="0"/>
        <charset val="1"/>
      </rPr>
      <t xml:space="preserve">2026 2M-A</t>
    </r>
    <r>
      <rPr>
        <sz val="9"/>
        <color rgb="FF666666"/>
        <rFont val="WenQuanYi Zen Hei"/>
        <family val="2"/>
      </rPr>
      <t xml:space="preserve">까지 다닌 </t>
    </r>
    <r>
      <rPr>
        <sz val="9"/>
        <color rgb="FF666666"/>
        <rFont val="Arial"/>
        <family val="0"/>
        <charset val="1"/>
      </rPr>
      <t xml:space="preserve">6</t>
    </r>
    <r>
      <rPr>
        <sz val="9"/>
        <color rgb="FF666666"/>
        <rFont val="WenQuanYi Zen Hei"/>
        <family val="2"/>
      </rPr>
      <t xml:space="preserve">명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김지수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김채율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이서연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황재성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서예준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이시원</t>
    </r>
    <r>
      <rPr>
        <sz val="9"/>
        <color rgb="FF666666"/>
        <rFont val="Arial"/>
        <family val="0"/>
        <charset val="1"/>
      </rPr>
      <t xml:space="preserve">) · Metta </t>
    </r>
    <r>
      <rPr>
        <sz val="9"/>
        <color rgb="FF666666"/>
        <rFont val="WenQuanYi Zen Hei"/>
        <family val="2"/>
      </rPr>
      <t xml:space="preserve">영어 전문학원 성적표 사진에서 옮김</t>
    </r>
  </si>
  <si>
    <t xml:space="preserve">시트 구성</t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</si>
  <si>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요약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시험 수준별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영역별 반 평균의 첫 시험 → 마지막 시험 변화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</si>
  <si>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모의고사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1(2025) 1·2·3·4</t>
    </r>
    <r>
      <rPr>
        <sz val="11"/>
        <rFont val="WenQuanYi Zen Hei"/>
        <family val="2"/>
      </rPr>
      <t xml:space="preserve">차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2(2026) 1·2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듣기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독해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총점 표와 그래프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</si>
  <si>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모의고사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2(2026) 3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듣기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독해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총점 표와 그래프</t>
    </r>
  </si>
  <si>
    <t xml:space="preserve">읽는 법</t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</si>
  <si>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듣기 </t>
    </r>
    <r>
      <rPr>
        <sz val="11"/>
        <rFont val="Arial"/>
        <family val="0"/>
        <charset val="1"/>
      </rPr>
      <t xml:space="preserve">17</t>
    </r>
    <r>
      <rPr>
        <sz val="11"/>
        <rFont val="WenQuanYi Zen Hei"/>
        <family val="2"/>
      </rPr>
      <t xml:space="preserve">문항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독해 </t>
    </r>
    <r>
      <rPr>
        <sz val="11"/>
        <rFont val="Arial"/>
        <family val="0"/>
        <charset val="1"/>
      </rPr>
      <t xml:space="preserve">28</t>
    </r>
    <r>
      <rPr>
        <sz val="11"/>
        <rFont val="WenQuanYi Zen Hei"/>
        <family val="2"/>
      </rPr>
      <t xml:space="preserve">문항 기준 맞은 개수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총점 </t>
    </r>
    <r>
      <rPr>
        <sz val="11"/>
        <rFont val="Arial"/>
        <family val="0"/>
        <charset val="1"/>
      </rPr>
      <t xml:space="preserve">100</t>
    </r>
    <r>
      <rPr>
        <sz val="11"/>
        <rFont val="WenQuanYi Zen Hei"/>
        <family val="2"/>
      </rPr>
      <t xml:space="preserve">점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</si>
  <si>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파란 글씨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성적표에서 옮긴 값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고치면 계산과 그래프가 바뀜</t>
    </r>
    <r>
      <rPr>
        <sz val="11"/>
        <rFont val="Arial"/>
        <family val="0"/>
        <charset val="1"/>
      </rPr>
      <t xml:space="preserve">) · </t>
    </r>
    <r>
      <rPr>
        <sz val="11"/>
        <rFont val="WenQuanYi Zen Hei"/>
        <family val="2"/>
      </rPr>
      <t xml:space="preserve">검은 글씨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계산식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초록 글씨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다른 시트 값</t>
    </r>
  </si>
  <si>
    <t xml:space="preserve">참고</t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</si>
  <si>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1·2</t>
    </r>
    <r>
      <rPr>
        <sz val="11"/>
        <rFont val="WenQuanYi Zen Hei"/>
        <family val="2"/>
      </rPr>
      <t xml:space="preserve">차는 총점만 기록된 학생이 있어 듣기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독해 칸이 비어 있습니다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모의고사는 </t>
    </r>
    <r>
      <rPr>
        <sz val="11"/>
        <rFont val="Arial"/>
        <family val="0"/>
        <charset val="1"/>
      </rPr>
      <t xml:space="preserve">2026</t>
    </r>
    <r>
      <rPr>
        <sz val="11"/>
        <rFont val="WenQuanYi Zen Hei"/>
        <family val="2"/>
      </rPr>
      <t xml:space="preserve">년 중</t>
    </r>
    <r>
      <rPr>
        <sz val="11"/>
        <rFont val="Arial"/>
        <family val="0"/>
        <charset val="1"/>
      </rPr>
      <t xml:space="preserve">2 3</t>
    </r>
    <r>
      <rPr>
        <sz val="11"/>
        <rFont val="WenQuanYi Zen Hei"/>
        <family val="2"/>
      </rPr>
      <t xml:space="preserve">차 한 번뿐이라 그래프에 점 하나만 찍힙니다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</si>
  <si>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이서연 반은 현재 중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라 고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모의고사는 아직 보지 않았습니다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</si>
  <si>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한재승</t>
    </r>
    <r>
      <rPr>
        <sz val="11"/>
        <rFont val="Arial"/>
        <family val="0"/>
        <charset val="1"/>
      </rPr>
      <t xml:space="preserve">(2026 </t>
    </r>
    <r>
      <rPr>
        <sz val="11"/>
        <rFont val="WenQuanYi Zen Hei"/>
        <family val="2"/>
      </rPr>
      <t xml:space="preserve">합류</t>
    </r>
    <r>
      <rPr>
        <sz val="11"/>
        <rFont val="Arial"/>
        <family val="0"/>
        <charset val="1"/>
      </rPr>
      <t xml:space="preserve">), </t>
    </r>
    <r>
      <rPr>
        <sz val="11"/>
        <rFont val="WenQuanYi Zen Hei"/>
        <family val="2"/>
      </rPr>
      <t xml:space="preserve">김은혜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구승준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김가민</t>
    </r>
    <r>
      <rPr>
        <sz val="11"/>
        <rFont val="Arial"/>
        <family val="0"/>
        <charset val="1"/>
      </rPr>
      <t xml:space="preserve">(2026 </t>
    </r>
    <r>
      <rPr>
        <sz val="11"/>
        <rFont val="WenQuanYi Zen Hei"/>
        <family val="2"/>
      </rPr>
      <t xml:space="preserve">미등록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은 제외했습니다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</si>
  <si>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이서연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시험 수준별 반 평균 변화</t>
    </r>
  </si>
  <si>
    <r>
      <rPr>
        <sz val="9"/>
        <color rgb="FF666666"/>
        <rFont val="WenQuanYi Zen Hei"/>
        <family val="2"/>
      </rPr>
      <t xml:space="preserve">초록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각 시트의 반 평균 행에서 가져온 값</t>
    </r>
  </si>
  <si>
    <t xml:space="preserve">시험 수준</t>
  </si>
  <si>
    <t xml:space="preserve">영역</t>
  </si>
  <si>
    <t xml:space="preserve">첫 시험 평균</t>
  </si>
  <si>
    <t xml:space="preserve">마지막 시험 평균</t>
  </si>
  <si>
    <t xml:space="preserve">변화</t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</si>
  <si>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</si>
  <si>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t xml:space="preserve">총점</t>
  </si>
  <si>
    <t xml:space="preserve">듣기</t>
  </si>
  <si>
    <t xml:space="preserve">독해</t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</si>
  <si>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</si>
  <si>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4"/>
        <rFont val="WenQuanYi Zen Hei"/>
        <family val="2"/>
      </rPr>
      <t xml:space="preserve">이서연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모의고사 성적 변화</t>
    </r>
  </si>
  <si>
    <r>
      <rPr>
        <sz val="9"/>
        <color rgb="FF666666"/>
        <rFont val="WenQuanYi Zen Hei"/>
        <family val="2"/>
      </rPr>
      <t xml:space="preserve">중</t>
    </r>
    <r>
      <rPr>
        <sz val="9"/>
        <color rgb="FF666666"/>
        <rFont val="Arial"/>
        <family val="0"/>
        <charset val="1"/>
      </rPr>
      <t xml:space="preserve">1(2025) 1·2·3·4</t>
    </r>
    <r>
      <rPr>
        <sz val="9"/>
        <color rgb="FF666666"/>
        <rFont val="WenQuanYi Zen Hei"/>
        <family val="2"/>
      </rPr>
      <t xml:space="preserve">차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중</t>
    </r>
    <r>
      <rPr>
        <sz val="9"/>
        <color rgb="FF666666"/>
        <rFont val="Arial"/>
        <family val="0"/>
        <charset val="1"/>
      </rPr>
      <t xml:space="preserve">2(2026) 1·2</t>
    </r>
    <r>
      <rPr>
        <sz val="9"/>
        <color rgb="FF666666"/>
        <rFont val="WenQuanYi Zen Hei"/>
        <family val="2"/>
      </rPr>
      <t xml:space="preserve">차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빈칸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기록 없음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미응시</t>
    </r>
  </si>
  <si>
    <r>
      <rPr>
        <b val="true"/>
        <sz val="11"/>
        <rFont val="WenQuanYi Zen Hei"/>
        <family val="2"/>
      </rPr>
      <t xml:space="preserve">총점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점 </t>
    </r>
    <r>
      <rPr>
        <b val="true"/>
        <sz val="11"/>
        <rFont val="Arial"/>
        <family val="0"/>
        <charset val="1"/>
      </rPr>
      <t xml:space="preserve">/ 100)</t>
    </r>
  </si>
  <si>
    <t xml:space="preserve">학생</t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</si>
  <si>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1 1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</si>
  <si>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1 2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</si>
  <si>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1 3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</si>
  <si>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1 4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</si>
  <si>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2 1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</si>
  <si>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2 2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</si>
  <si>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t xml:space="preserve">첫 시험</t>
  </si>
  <si>
    <t xml:space="preserve">마지막 시험</t>
  </si>
  <si>
    <t xml:space="preserve">김지수</t>
  </si>
  <si>
    <t xml:space="preserve">김채율</t>
  </si>
  <si>
    <t xml:space="preserve">이서연</t>
  </si>
  <si>
    <t xml:space="preserve">황재성</t>
  </si>
  <si>
    <t xml:space="preserve">서예준</t>
  </si>
  <si>
    <t xml:space="preserve">이시원</t>
  </si>
  <si>
    <t xml:space="preserve">반 평균</t>
  </si>
  <si>
    <r>
      <rPr>
        <b val="true"/>
        <sz val="11"/>
        <rFont val="WenQuanYi Zen Hei"/>
        <family val="2"/>
      </rPr>
      <t xml:space="preserve">듣기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맞은 개수 </t>
    </r>
    <r>
      <rPr>
        <b val="true"/>
        <sz val="11"/>
        <rFont val="Arial"/>
        <family val="0"/>
        <charset val="1"/>
      </rPr>
      <t xml:space="preserve">/ 17)</t>
    </r>
  </si>
  <si>
    <r>
      <rPr>
        <b val="true"/>
        <sz val="11"/>
        <rFont val="WenQuanYi Zen Hei"/>
        <family val="2"/>
      </rPr>
      <t xml:space="preserve">독해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맞은 개수 </t>
    </r>
    <r>
      <rPr>
        <b val="true"/>
        <sz val="11"/>
        <rFont val="Arial"/>
        <family val="0"/>
        <charset val="1"/>
      </rPr>
      <t xml:space="preserve">/ 28)</t>
    </r>
  </si>
  <si>
    <r>
      <rPr>
        <b val="true"/>
        <sz val="14"/>
        <rFont val="WenQuanYi Zen Hei"/>
        <family val="2"/>
      </rPr>
      <t xml:space="preserve">이서연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2 </t>
    </r>
    <r>
      <rPr>
        <b val="true"/>
        <sz val="14"/>
        <rFont val="WenQuanYi Zen Hei"/>
        <family val="2"/>
      </rPr>
      <t xml:space="preserve">모의고사 성적 변화</t>
    </r>
  </si>
  <si>
    <r>
      <rPr>
        <sz val="9"/>
        <color rgb="FF666666"/>
        <rFont val="WenQuanYi Zen Hei"/>
        <family val="2"/>
      </rPr>
      <t xml:space="preserve">중</t>
    </r>
    <r>
      <rPr>
        <sz val="9"/>
        <color rgb="FF666666"/>
        <rFont val="Arial"/>
        <family val="0"/>
        <charset val="1"/>
      </rPr>
      <t xml:space="preserve">2(2026) 3</t>
    </r>
    <r>
      <rPr>
        <sz val="9"/>
        <color rgb="FF666666"/>
        <rFont val="WenQuanYi Zen Hei"/>
        <family val="2"/>
      </rPr>
      <t xml:space="preserve">차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빈칸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기록 없음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미응시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</si>
  <si>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2 3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</si>
</sst>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\+0.0;\-0.0;0.0"/>
    <numFmt numFmtId="167" formatCode="\+0;\-0;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9"/>
      <color rgb="FF666666"/>
      <name val="WenQuanYi Zen Hei"/>
      <family val="2"/>
    </font>
    <font>
      <sz val="9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7E4"/>
        <bgColor rgb="FFD9D9D9"/>
      </patternFill>
    </fill>
    <fill>
      <patternFill patternType="solid">
        <fgColor rgb="FFF2F2F2"/>
        <bgColor rgb="FFDDE7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4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'고1 모의고사'!A6</c:f>
              <c:strCache>
                <c:ptCount val="1"/>
                <c:pt idx="0">
                  <c:v>김지수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모의고사'!$B$5:$G$5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모의고사'!$B$6:$G$6</c:f>
              <c:numCache>
                <c:formatCode>General</c:formatCode>
                <c:ptCount val="6"/>
                <c:pt idx="0">
                  <c:v>63</c:v>
                </c:pt>
                <c:pt idx="1">
                  <c:v>67</c:v>
                </c:pt>
                <c:pt idx="2">
                  <c:v>68</c:v>
                </c:pt>
                <c:pt idx="3">
                  <c:v>61</c:v>
                </c:pt>
                <c:pt idx="4">
                  <c:v>66</c:v>
                </c:pt>
                <c:pt idx="5">
                  <c:v>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'고1 모의고사'!A7</c:f>
              <c:strCache>
                <c:ptCount val="1"/>
                <c:pt idx="0">
                  <c:v>김채율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모의고사'!$B$5:$G$5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모의고사'!$B$7:$G$7</c:f>
              <c:numCache>
                <c:formatCode>General</c:formatCode>
                <c:ptCount val="6"/>
                <c:pt idx="0">
                  <c:v>59</c:v>
                </c:pt>
                <c:pt idx="1">
                  <c:v>86</c:v>
                </c:pt>
                <c:pt idx="2">
                  <c:v>76</c:v>
                </c:pt>
                <c:pt idx="3">
                  <c:v>78</c:v>
                </c:pt>
                <c:pt idx="4">
                  <c:v>87</c:v>
                </c:pt>
                <c:pt idx="5">
                  <c:v>73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'고1 모의고사'!A8</c:f>
              <c:strCache>
                <c:ptCount val="1"/>
                <c:pt idx="0">
                  <c:v>이서연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모의고사'!$B$5:$G$5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모의고사'!$B$8:$G$8</c:f>
              <c:numCache>
                <c:formatCode>General</c:formatCode>
                <c:ptCount val="6"/>
                <c:pt idx="0">
                  <c:v>88</c:v>
                </c:pt>
                <c:pt idx="1">
                  <c:v>94</c:v>
                </c:pt>
                <c:pt idx="2">
                  <c:v>91</c:v>
                </c:pt>
                <c:pt idx="3">
                  <c:v>94</c:v>
                </c:pt>
                <c:pt idx="4">
                  <c:v>87</c:v>
                </c:pt>
                <c:pt idx="5">
                  <c:v>100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'고1 모의고사'!A9</c:f>
              <c:strCache>
                <c:ptCount val="1"/>
                <c:pt idx="0">
                  <c:v>황재성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모의고사'!$B$5:$G$5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모의고사'!$B$9:$G$9</c:f>
              <c:numCache>
                <c:formatCode>General</c:formatCode>
                <c:ptCount val="6"/>
                <c:pt idx="0">
                  <c:v>67</c:v>
                </c:pt>
                <c:pt idx="1">
                  <c:v>74</c:v>
                </c:pt>
                <c:pt idx="2">
                  <c:v>71</c:v>
                </c:pt>
                <c:pt idx="3">
                  <c:v>91</c:v>
                </c:pt>
                <c:pt idx="4">
                  <c:v>88</c:v>
                </c:pt>
                <c:pt idx="5">
                  <c:v>74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'고1 모의고사'!A10</c:f>
              <c:strCache>
                <c:ptCount val="1"/>
                <c:pt idx="0">
                  <c:v>서예준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circle"/>
            <c:size val="7"/>
            <c:spPr>
              <a:solidFill>
                <a:srgbClr val="46aa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모의고사'!$B$5:$G$5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모의고사'!$B$10:$G$10</c:f>
              <c:numCache>
                <c:formatCode>General</c:formatCode>
                <c:ptCount val="6"/>
                <c:pt idx="0">
                  <c:v>51</c:v>
                </c:pt>
                <c:pt idx="1">
                  <c:v>57</c:v>
                </c:pt>
                <c:pt idx="2">
                  <c:v>68</c:v>
                </c:pt>
                <c:pt idx="3">
                  <c:v>86</c:v>
                </c:pt>
                <c:pt idx="4">
                  <c:v>73</c:v>
                </c:pt>
                <c:pt idx="5">
                  <c:v>82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'고1 모의고사'!A11</c:f>
              <c:strCache>
                <c:ptCount val="1"/>
                <c:pt idx="0">
                  <c:v>이시원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circle"/>
            <c:size val="7"/>
            <c:spPr>
              <a:solidFill>
                <a:srgbClr val="f592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모의고사'!$B$5:$G$5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모의고사'!$B$11:$G$11</c:f>
              <c:numCache>
                <c:formatCode>General</c:formatCode>
                <c:ptCount val="6"/>
                <c:pt idx="0">
                  <c:v>62</c:v>
                </c:pt>
                <c:pt idx="1">
                  <c:v>61</c:v>
                </c:pt>
                <c:pt idx="2">
                  <c:v>69</c:v>
                </c:pt>
                <c:pt idx="3">
                  <c:v>78</c:v>
                </c:pt>
                <c:pt idx="4">
                  <c:v>73</c:v>
                </c:pt>
                <c:pt idx="5">
                  <c:v>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094777"/>
        <c:axId val="25766089"/>
      </c:lineChart>
      <c:catAx>
        <c:axId val="940947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66089"/>
        <c:crosses val="autoZero"/>
        <c:auto val="1"/>
        <c:lblAlgn val="ctr"/>
        <c:lblOffset val="100"/>
        <c:noMultiLvlLbl val="0"/>
      </c:catAx>
      <c:valAx>
        <c:axId val="25766089"/>
        <c:scaling>
          <c:orientation val="minMax"/>
          <c:max val="10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점 /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94777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듣기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'고1 모의고사'!A16</c:f>
              <c:strCache>
                <c:ptCount val="1"/>
                <c:pt idx="0">
                  <c:v>김지수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모의고사'!$B$15:$G$15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모의고사'!$B$16:$G$16</c:f>
              <c:numCache>
                <c:formatCode>General</c:formatCode>
                <c:ptCount val="6"/>
                <c:pt idx="0">
                  <c:v>14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  <c:pt idx="5">
                  <c:v>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'고1 모의고사'!A17</c:f>
              <c:strCache>
                <c:ptCount val="1"/>
                <c:pt idx="0">
                  <c:v>김채율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모의고사'!$B$15:$G$15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모의고사'!$B$17:$G$17</c:f>
              <c:numCache>
                <c:formatCode>General</c:formatCode>
                <c:ptCount val="6"/>
                <c:pt idx="0">
                  <c:v>17</c:v>
                </c:pt>
                <c:pt idx="2">
                  <c:v>17</c:v>
                </c:pt>
                <c:pt idx="3">
                  <c:v>15</c:v>
                </c:pt>
                <c:pt idx="4">
                  <c:v>17</c:v>
                </c:pt>
                <c:pt idx="5">
                  <c:v>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'고1 모의고사'!A18</c:f>
              <c:strCache>
                <c:ptCount val="1"/>
                <c:pt idx="0">
                  <c:v>이서연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모의고사'!$B$15:$G$15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모의고사'!$B$18:$G$18</c:f>
              <c:numCache>
                <c:formatCode>General</c:formatCode>
                <c:ptCount val="6"/>
                <c:pt idx="0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'고1 모의고사'!A19</c:f>
              <c:strCache>
                <c:ptCount val="1"/>
                <c:pt idx="0">
                  <c:v>황재성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모의고사'!$B$15:$G$15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모의고사'!$B$19:$G$19</c:f>
              <c:numCache>
                <c:formatCode>General</c:formatCode>
                <c:ptCount val="6"/>
                <c:pt idx="0">
                  <c:v>15</c:v>
                </c:pt>
                <c:pt idx="2">
                  <c:v>15</c:v>
                </c:pt>
                <c:pt idx="3">
                  <c:v>17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'고1 모의고사'!A20</c:f>
              <c:strCache>
                <c:ptCount val="1"/>
                <c:pt idx="0">
                  <c:v>서예준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circle"/>
            <c:size val="7"/>
            <c:spPr>
              <a:solidFill>
                <a:srgbClr val="46aa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모의고사'!$B$15:$G$15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모의고사'!$B$20:$G$20</c:f>
              <c:numCache>
                <c:formatCode>General</c:formatCode>
                <c:ptCount val="6"/>
                <c:pt idx="0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17</c:v>
                </c:pt>
                <c:pt idx="5">
                  <c:v>17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'고1 모의고사'!A21</c:f>
              <c:strCache>
                <c:ptCount val="1"/>
                <c:pt idx="0">
                  <c:v>이시원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circle"/>
            <c:size val="7"/>
            <c:spPr>
              <a:solidFill>
                <a:srgbClr val="f592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모의고사'!$B$15:$G$15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모의고사'!$B$21:$G$21</c:f>
              <c:numCache>
                <c:formatCode>General</c:formatCode>
                <c:ptCount val="6"/>
                <c:pt idx="2">
                  <c:v>16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2194273"/>
        <c:axId val="46152682"/>
      </c:lineChart>
      <c:catAx>
        <c:axId val="121942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52682"/>
        <c:crosses val="autoZero"/>
        <c:auto val="1"/>
        <c:lblAlgn val="ctr"/>
        <c:lblOffset val="100"/>
        <c:noMultiLvlLbl val="0"/>
      </c:catAx>
      <c:valAx>
        <c:axId val="46152682"/>
        <c:scaling>
          <c:orientation val="minMax"/>
          <c:max val="17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17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94273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독해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'고1 모의고사'!A26</c:f>
              <c:strCache>
                <c:ptCount val="1"/>
                <c:pt idx="0">
                  <c:v>김지수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모의고사'!$B$25:$G$25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모의고사'!$B$26:$G$26</c:f>
              <c:numCache>
                <c:formatCode>General</c:formatCode>
                <c:ptCount val="6"/>
                <c:pt idx="0">
                  <c:v>16</c:v>
                </c:pt>
                <c:pt idx="2">
                  <c:v>16</c:v>
                </c:pt>
                <c:pt idx="3">
                  <c:v>13</c:v>
                </c:pt>
                <c:pt idx="4">
                  <c:v>16</c:v>
                </c:pt>
                <c:pt idx="5">
                  <c:v>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'고1 모의고사'!A27</c:f>
              <c:strCache>
                <c:ptCount val="1"/>
                <c:pt idx="0">
                  <c:v>김채율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모의고사'!$B$25:$G$25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모의고사'!$B$27:$G$27</c:f>
              <c:numCache>
                <c:formatCode>General</c:formatCode>
                <c:ptCount val="6"/>
                <c:pt idx="0">
                  <c:v>11</c:v>
                </c:pt>
                <c:pt idx="2">
                  <c:v>18</c:v>
                </c:pt>
                <c:pt idx="3">
                  <c:v>21</c:v>
                </c:pt>
                <c:pt idx="4">
                  <c:v>23</c:v>
                </c:pt>
                <c:pt idx="5">
                  <c:v>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'고1 모의고사'!A28</c:f>
              <c:strCache>
                <c:ptCount val="1"/>
                <c:pt idx="0">
                  <c:v>이서연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모의고사'!$B$25:$G$25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모의고사'!$B$28:$G$28</c:f>
              <c:numCache>
                <c:formatCode>General</c:formatCode>
                <c:ptCount val="6"/>
                <c:pt idx="0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23</c:v>
                </c:pt>
                <c:pt idx="5">
                  <c:v>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'고1 모의고사'!A29</c:f>
              <c:strCache>
                <c:ptCount val="1"/>
                <c:pt idx="0">
                  <c:v>황재성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모의고사'!$B$25:$G$25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모의고사'!$B$29:$G$29</c:f>
              <c:numCache>
                <c:formatCode>General</c:formatCode>
                <c:ptCount val="6"/>
                <c:pt idx="0">
                  <c:v>17</c:v>
                </c:pt>
                <c:pt idx="2">
                  <c:v>18</c:v>
                </c:pt>
                <c:pt idx="3">
                  <c:v>24</c:v>
                </c:pt>
                <c:pt idx="4">
                  <c:v>24</c:v>
                </c:pt>
                <c:pt idx="5">
                  <c:v>20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'고1 모의고사'!A30</c:f>
              <c:strCache>
                <c:ptCount val="1"/>
                <c:pt idx="0">
                  <c:v>서예준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circle"/>
            <c:size val="7"/>
            <c:spPr>
              <a:solidFill>
                <a:srgbClr val="46aa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모의고사'!$B$25:$G$25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모의고사'!$B$30:$G$30</c:f>
              <c:numCache>
                <c:formatCode>General</c:formatCode>
                <c:ptCount val="6"/>
                <c:pt idx="0">
                  <c:v>8</c:v>
                </c:pt>
                <c:pt idx="2">
                  <c:v>16</c:v>
                </c:pt>
                <c:pt idx="3">
                  <c:v>23</c:v>
                </c:pt>
                <c:pt idx="4">
                  <c:v>18</c:v>
                </c:pt>
                <c:pt idx="5">
                  <c:v>21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'고1 모의고사'!A31</c:f>
              <c:strCache>
                <c:ptCount val="1"/>
                <c:pt idx="0">
                  <c:v>이시원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circle"/>
            <c:size val="7"/>
            <c:spPr>
              <a:solidFill>
                <a:srgbClr val="f592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모의고사'!$B$25:$G$25</c:f>
              <c:strCache>
                <c:ptCount val="6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중2 1차
고1 모의고사</c:v>
                </c:pt>
                <c:pt idx="5">
                  <c:v>중2 2차
고1 모의고사</c:v>
                </c:pt>
              </c:strCache>
            </c:strRef>
          </c:cat>
          <c:val>
            <c:numRef>
              <c:f>'고1 모의고사'!$B$31:$G$31</c:f>
              <c:numCache>
                <c:formatCode>General</c:formatCode>
                <c:ptCount val="6"/>
                <c:pt idx="2">
                  <c:v>16</c:v>
                </c:pt>
                <c:pt idx="3">
                  <c:v>19</c:v>
                </c:pt>
                <c:pt idx="4">
                  <c:v>17</c:v>
                </c:pt>
                <c:pt idx="5">
                  <c:v>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079007"/>
        <c:axId val="43457598"/>
      </c:lineChart>
      <c:catAx>
        <c:axId val="8507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57598"/>
        <c:crosses val="autoZero"/>
        <c:auto val="1"/>
        <c:lblAlgn val="ctr"/>
        <c:lblOffset val="100"/>
        <c:noMultiLvlLbl val="0"/>
      </c:catAx>
      <c:valAx>
        <c:axId val="43457598"/>
        <c:scaling>
          <c:orientation val="minMax"/>
          <c:max val="28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28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79007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'고2 모의고사'!A6</c:f>
              <c:strCache>
                <c:ptCount val="1"/>
                <c:pt idx="0">
                  <c:v>김지수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모의고사'!$B$6</c:f>
              <c:numCache>
                <c:formatCode>General</c:formatCode>
                <c:ptCount val="1"/>
                <c:pt idx="0">
                  <c:v>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'고2 모의고사'!A7</c:f>
              <c:strCache>
                <c:ptCount val="1"/>
                <c:pt idx="0">
                  <c:v>김채율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모의고사'!$B$7</c:f>
              <c:numCache>
                <c:formatCode>General</c:formatCode>
                <c:ptCount val="1"/>
                <c:pt idx="0">
                  <c:v>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'고2 모의고사'!A8</c:f>
              <c:strCache>
                <c:ptCount val="1"/>
                <c:pt idx="0">
                  <c:v>이서연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모의고사'!$B$8</c:f>
              <c:numCache>
                <c:formatCode>General</c:formatCode>
                <c:ptCount val="1"/>
                <c:pt idx="0">
                  <c:v>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'고2 모의고사'!A9</c:f>
              <c:strCache>
                <c:ptCount val="1"/>
                <c:pt idx="0">
                  <c:v>황재성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모의고사'!$B$9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'고2 모의고사'!A10</c:f>
              <c:strCache>
                <c:ptCount val="1"/>
                <c:pt idx="0">
                  <c:v>서예준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circle"/>
            <c:size val="7"/>
            <c:spPr>
              <a:solidFill>
                <a:srgbClr val="46aa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모의고사'!$B$10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'고2 모의고사'!A11</c:f>
              <c:strCache>
                <c:ptCount val="1"/>
                <c:pt idx="0">
                  <c:v>이시원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circle"/>
            <c:size val="7"/>
            <c:spPr>
              <a:solidFill>
                <a:srgbClr val="f592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모의고사'!$B$11</c:f>
              <c:numCache>
                <c:formatCode>General</c:formatCode>
                <c:ptCount val="1"/>
                <c:pt idx="0">
                  <c:v>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438701"/>
        <c:axId val="61362784"/>
      </c:lineChart>
      <c:catAx>
        <c:axId val="104387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62784"/>
        <c:crosses val="autoZero"/>
        <c:auto val="1"/>
        <c:lblAlgn val="ctr"/>
        <c:lblOffset val="100"/>
        <c:noMultiLvlLbl val="0"/>
      </c:catAx>
      <c:valAx>
        <c:axId val="61362784"/>
        <c:scaling>
          <c:orientation val="minMax"/>
          <c:max val="10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점 /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38701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듣기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'고2 모의고사'!A16</c:f>
              <c:strCache>
                <c:ptCount val="1"/>
                <c:pt idx="0">
                  <c:v>김지수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모의고사'!$B$15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모의고사'!$B$16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'고2 모의고사'!A17</c:f>
              <c:strCache>
                <c:ptCount val="1"/>
                <c:pt idx="0">
                  <c:v>김채율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모의고사'!$B$15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모의고사'!$B$17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'고2 모의고사'!A18</c:f>
              <c:strCache>
                <c:ptCount val="1"/>
                <c:pt idx="0">
                  <c:v>이서연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모의고사'!$B$15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모의고사'!$B$18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'고2 모의고사'!A19</c:f>
              <c:strCache>
                <c:ptCount val="1"/>
                <c:pt idx="0">
                  <c:v>황재성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모의고사'!$B$15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모의고사'!$B$19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'고2 모의고사'!A20</c:f>
              <c:strCache>
                <c:ptCount val="1"/>
                <c:pt idx="0">
                  <c:v>서예준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circle"/>
            <c:size val="7"/>
            <c:spPr>
              <a:solidFill>
                <a:srgbClr val="46aa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모의고사'!$B$15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모의고사'!$B$20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'고2 모의고사'!A21</c:f>
              <c:strCache>
                <c:ptCount val="1"/>
                <c:pt idx="0">
                  <c:v>이시원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circle"/>
            <c:size val="7"/>
            <c:spPr>
              <a:solidFill>
                <a:srgbClr val="f592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모의고사'!$B$15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모의고사'!$B$21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745002"/>
        <c:axId val="85275129"/>
      </c:lineChart>
      <c:catAx>
        <c:axId val="577450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75129"/>
        <c:crosses val="autoZero"/>
        <c:auto val="1"/>
        <c:lblAlgn val="ctr"/>
        <c:lblOffset val="100"/>
        <c:noMultiLvlLbl val="0"/>
      </c:catAx>
      <c:valAx>
        <c:axId val="85275129"/>
        <c:scaling>
          <c:orientation val="minMax"/>
          <c:max val="17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17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45002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독해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'고2 모의고사'!A26</c:f>
              <c:strCache>
                <c:ptCount val="1"/>
                <c:pt idx="0">
                  <c:v>김지수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모의고사'!$B$25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모의고사'!$B$26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'고2 모의고사'!A27</c:f>
              <c:strCache>
                <c:ptCount val="1"/>
                <c:pt idx="0">
                  <c:v>김채율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모의고사'!$B$25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모의고사'!$B$27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'고2 모의고사'!A28</c:f>
              <c:strCache>
                <c:ptCount val="1"/>
                <c:pt idx="0">
                  <c:v>이서연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모의고사'!$B$25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모의고사'!$B$28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'고2 모의고사'!A29</c:f>
              <c:strCache>
                <c:ptCount val="1"/>
                <c:pt idx="0">
                  <c:v>황재성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모의고사'!$B$25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모의고사'!$B$29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'고2 모의고사'!A30</c:f>
              <c:strCache>
                <c:ptCount val="1"/>
                <c:pt idx="0">
                  <c:v>서예준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circle"/>
            <c:size val="7"/>
            <c:spPr>
              <a:solidFill>
                <a:srgbClr val="46aa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모의고사'!$B$25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모의고사'!$B$30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'고2 모의고사'!A31</c:f>
              <c:strCache>
                <c:ptCount val="1"/>
                <c:pt idx="0">
                  <c:v>이시원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circle"/>
            <c:size val="7"/>
            <c:spPr>
              <a:solidFill>
                <a:srgbClr val="f592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모의고사'!$B$25</c:f>
              <c:strCache>
                <c:ptCount val="1"/>
                <c:pt idx="0">
                  <c:v>중2 3차
고2 모의고사</c:v>
                </c:pt>
              </c:strCache>
            </c:strRef>
          </c:cat>
          <c:val>
            <c:numRef>
              <c:f>'고2 모의고사'!$B$31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990972"/>
        <c:axId val="54455195"/>
      </c:lineChart>
      <c:catAx>
        <c:axId val="799909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55195"/>
        <c:crosses val="autoZero"/>
        <c:auto val="1"/>
        <c:lblAlgn val="ctr"/>
        <c:lblOffset val="100"/>
        <c:noMultiLvlLbl val="0"/>
      </c:catAx>
      <c:valAx>
        <c:axId val="54455195"/>
        <c:scaling>
          <c:orientation val="minMax"/>
          <c:max val="28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28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90972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134640</xdr:rowOff>
    </xdr:from>
    <xdr:to>
      <xdr:col>20</xdr:col>
      <xdr:colOff>256320</xdr:colOff>
      <xdr:row>14</xdr:row>
      <xdr:rowOff>310320</xdr:rowOff>
    </xdr:to>
    <xdr:graphicFrame>
      <xdr:nvGraphicFramePr>
        <xdr:cNvPr id="0" name="Chart 1"/>
        <xdr:cNvGraphicFramePr/>
      </xdr:nvGraphicFramePr>
      <xdr:xfrm>
        <a:off x="935172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18</xdr:row>
      <xdr:rowOff>134640</xdr:rowOff>
    </xdr:from>
    <xdr:to>
      <xdr:col>20</xdr:col>
      <xdr:colOff>256320</xdr:colOff>
      <xdr:row>31</xdr:row>
      <xdr:rowOff>119520</xdr:rowOff>
    </xdr:to>
    <xdr:graphicFrame>
      <xdr:nvGraphicFramePr>
        <xdr:cNvPr id="1" name="Chart 2"/>
        <xdr:cNvGraphicFramePr/>
      </xdr:nvGraphicFramePr>
      <xdr:xfrm>
        <a:off x="9351720" y="40957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34</xdr:row>
      <xdr:rowOff>134640</xdr:rowOff>
    </xdr:from>
    <xdr:to>
      <xdr:col>20</xdr:col>
      <xdr:colOff>256320</xdr:colOff>
      <xdr:row>48</xdr:row>
      <xdr:rowOff>167040</xdr:rowOff>
    </xdr:to>
    <xdr:graphicFrame>
      <xdr:nvGraphicFramePr>
        <xdr:cNvPr id="2" name="Chart 3"/>
        <xdr:cNvGraphicFramePr/>
      </xdr:nvGraphicFramePr>
      <xdr:xfrm>
        <a:off x="9351720" y="73818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134640</xdr:rowOff>
    </xdr:from>
    <xdr:to>
      <xdr:col>15</xdr:col>
      <xdr:colOff>255960</xdr:colOff>
      <xdr:row>14</xdr:row>
      <xdr:rowOff>310320</xdr:rowOff>
    </xdr:to>
    <xdr:graphicFrame>
      <xdr:nvGraphicFramePr>
        <xdr:cNvPr id="3" name="Chart 1"/>
        <xdr:cNvGraphicFramePr/>
      </xdr:nvGraphicFramePr>
      <xdr:xfrm>
        <a:off x="512244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134640</xdr:rowOff>
    </xdr:from>
    <xdr:to>
      <xdr:col>15</xdr:col>
      <xdr:colOff>255960</xdr:colOff>
      <xdr:row>31</xdr:row>
      <xdr:rowOff>119520</xdr:rowOff>
    </xdr:to>
    <xdr:graphicFrame>
      <xdr:nvGraphicFramePr>
        <xdr:cNvPr id="4" name="Chart 2"/>
        <xdr:cNvGraphicFramePr/>
      </xdr:nvGraphicFramePr>
      <xdr:xfrm>
        <a:off x="5122440" y="40957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34</xdr:row>
      <xdr:rowOff>134640</xdr:rowOff>
    </xdr:from>
    <xdr:to>
      <xdr:col>15</xdr:col>
      <xdr:colOff>255960</xdr:colOff>
      <xdr:row>48</xdr:row>
      <xdr:rowOff>167040</xdr:rowOff>
    </xdr:to>
    <xdr:graphicFrame>
      <xdr:nvGraphicFramePr>
        <xdr:cNvPr id="5" name="Chart 3"/>
        <xdr:cNvGraphicFramePr/>
      </xdr:nvGraphicFramePr>
      <xdr:xfrm>
        <a:off x="5122440" y="73818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4" hidden="false" customHeight="false" outlineLevel="0" collapsed="false">
      <c r="A1" s="1" t="s">
        <v>0</v>
      </c>
    </row>
    <row r="2" customFormat="false" ht="13.4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4.9" hidden="false" customHeight="false" outlineLevel="0" collapsed="false">
      <c r="A5" s="3" t="s">
        <v>3</v>
      </c>
    </row>
    <row r="6" customFormat="false" ht="14.9" hidden="false" customHeight="false" outlineLevel="0" collapsed="false">
      <c r="A6" s="3" t="s">
        <v>4</v>
      </c>
    </row>
    <row r="7" customFormat="false" ht="14.9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4.9" hidden="false" customHeight="false" outlineLevel="0" collapsed="false">
      <c r="A10" s="3" t="s">
        <v>7</v>
      </c>
    </row>
    <row r="11" customFormat="false" ht="14.9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14.9" hidden="false" customHeight="false" outlineLevel="0" collapsed="false">
      <c r="A14" s="3" t="s">
        <v>10</v>
      </c>
    </row>
    <row r="15" customFormat="false" ht="14.9" hidden="false" customHeight="false" outlineLevel="0" collapsed="false">
      <c r="A15" s="3" t="s">
        <v>11</v>
      </c>
    </row>
    <row r="16" customFormat="false" ht="14.9" hidden="false" customHeight="false" outlineLevel="0" collapsed="false">
      <c r="A16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9.4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28.3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customFormat="false" ht="15" hidden="false" customHeight="false" outlineLevel="0" collapsed="false">
      <c r="A5" s="6" t="s">
        <v>20</v>
      </c>
      <c r="B5" s="7" t="s">
        <v>21</v>
      </c>
      <c r="C5" s="8" t="n">
        <f aca="false">'고1 모의고사'!H12</f>
        <v>65</v>
      </c>
      <c r="D5" s="8" t="n">
        <f aca="false">'고1 모의고사'!I12</f>
        <v>79.1666666666667</v>
      </c>
      <c r="E5" s="9" t="n">
        <f aca="false">D5-C5</f>
        <v>14.1666666666667</v>
      </c>
    </row>
    <row r="6" customFormat="false" ht="15" hidden="false" customHeight="false" outlineLevel="0" collapsed="false">
      <c r="A6" s="6" t="s">
        <v>20</v>
      </c>
      <c r="B6" s="7" t="s">
        <v>22</v>
      </c>
      <c r="C6" s="8" t="n">
        <f aca="false">'고1 모의고사'!H22</f>
        <v>15.8</v>
      </c>
      <c r="D6" s="8" t="n">
        <f aca="false">'고1 모의고사'!I22</f>
        <v>16.3333333333333</v>
      </c>
      <c r="E6" s="9" t="n">
        <f aca="false">D6-C6</f>
        <v>0.533333333333331</v>
      </c>
    </row>
    <row r="7" customFormat="false" ht="15" hidden="false" customHeight="false" outlineLevel="0" collapsed="false">
      <c r="A7" s="6" t="s">
        <v>20</v>
      </c>
      <c r="B7" s="7" t="s">
        <v>23</v>
      </c>
      <c r="C7" s="8" t="n">
        <f aca="false">'고1 모의고사'!H32</f>
        <v>15</v>
      </c>
      <c r="D7" s="8" t="n">
        <f aca="false">'고1 모의고사'!I32</f>
        <v>20.3333333333333</v>
      </c>
      <c r="E7" s="9" t="n">
        <f aca="false">D7-C7</f>
        <v>5.33333333333333</v>
      </c>
    </row>
    <row r="8" customFormat="false" ht="15" hidden="false" customHeight="false" outlineLevel="0" collapsed="false">
      <c r="A8" s="6" t="s">
        <v>24</v>
      </c>
      <c r="B8" s="7" t="s">
        <v>21</v>
      </c>
      <c r="C8" s="8" t="n">
        <f aca="false">'고2 모의고사'!C12</f>
        <v>81.1666666666667</v>
      </c>
      <c r="D8" s="8" t="n">
        <f aca="false">'고2 모의고사'!D12</f>
        <v>81.1666666666667</v>
      </c>
      <c r="E8" s="9" t="n">
        <f aca="false">D8-C8</f>
        <v>0</v>
      </c>
    </row>
    <row r="9" customFormat="false" ht="15" hidden="false" customHeight="false" outlineLevel="0" collapsed="false">
      <c r="A9" s="6" t="s">
        <v>24</v>
      </c>
      <c r="B9" s="7" t="s">
        <v>22</v>
      </c>
      <c r="C9" s="8" t="n">
        <f aca="false">'고2 모의고사'!C22</f>
        <v>16.8333333333333</v>
      </c>
      <c r="D9" s="8" t="n">
        <f aca="false">'고2 모의고사'!D22</f>
        <v>16.8333333333333</v>
      </c>
      <c r="E9" s="9" t="n">
        <f aca="false">D9-C9</f>
        <v>0</v>
      </c>
    </row>
    <row r="10" customFormat="false" ht="15" hidden="false" customHeight="false" outlineLevel="0" collapsed="false">
      <c r="A10" s="6" t="s">
        <v>24</v>
      </c>
      <c r="B10" s="7" t="s">
        <v>23</v>
      </c>
      <c r="C10" s="8" t="n">
        <f aca="false">'고2 모의고사'!C32</f>
        <v>20.6666666666667</v>
      </c>
      <c r="D10" s="8" t="n">
        <f aca="false">'고2 모의고사'!D32</f>
        <v>20.6666666666667</v>
      </c>
      <c r="E10" s="9" t="n">
        <f aca="false">D10-C10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2"/>
  </cols>
  <sheetData>
    <row r="1" customFormat="false" ht="19.4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4" t="s">
        <v>27</v>
      </c>
    </row>
    <row r="5" customFormat="false" ht="33.75" hidden="false" customHeight="true" outlineLevel="0" collapsed="false">
      <c r="A5" s="5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19</v>
      </c>
    </row>
    <row r="6" customFormat="false" ht="15" hidden="false" customHeight="false" outlineLevel="0" collapsed="false">
      <c r="A6" s="6" t="s">
        <v>37</v>
      </c>
      <c r="B6" s="10" t="n">
        <v>63</v>
      </c>
      <c r="C6" s="10" t="n">
        <v>67</v>
      </c>
      <c r="D6" s="10" t="n">
        <v>68</v>
      </c>
      <c r="E6" s="10" t="n">
        <v>61</v>
      </c>
      <c r="F6" s="10" t="n">
        <v>66</v>
      </c>
      <c r="G6" s="10" t="n">
        <v>75</v>
      </c>
      <c r="H6" s="7" t="n">
        <f aca="false">B6</f>
        <v>63</v>
      </c>
      <c r="I6" s="7" t="n">
        <f aca="false">LOOKUP(9.99E+307,B6:G6)</f>
        <v>75</v>
      </c>
      <c r="J6" s="11" t="n">
        <f aca="false">I6-H6</f>
        <v>12</v>
      </c>
    </row>
    <row r="7" customFormat="false" ht="15" hidden="false" customHeight="false" outlineLevel="0" collapsed="false">
      <c r="A7" s="6" t="s">
        <v>38</v>
      </c>
      <c r="B7" s="10" t="n">
        <v>59</v>
      </c>
      <c r="C7" s="10" t="n">
        <v>86</v>
      </c>
      <c r="D7" s="10" t="n">
        <v>76</v>
      </c>
      <c r="E7" s="10" t="n">
        <v>78</v>
      </c>
      <c r="F7" s="10" t="n">
        <v>87</v>
      </c>
      <c r="G7" s="10" t="n">
        <v>73</v>
      </c>
      <c r="H7" s="7" t="n">
        <f aca="false">B7</f>
        <v>59</v>
      </c>
      <c r="I7" s="7" t="n">
        <f aca="false">LOOKUP(9.99E+307,B7:G7)</f>
        <v>73</v>
      </c>
      <c r="J7" s="11" t="n">
        <f aca="false">I7-H7</f>
        <v>14</v>
      </c>
    </row>
    <row r="8" customFormat="false" ht="15" hidden="false" customHeight="false" outlineLevel="0" collapsed="false">
      <c r="A8" s="6" t="s">
        <v>39</v>
      </c>
      <c r="B8" s="10" t="n">
        <v>88</v>
      </c>
      <c r="C8" s="10" t="n">
        <v>94</v>
      </c>
      <c r="D8" s="10" t="n">
        <v>91</v>
      </c>
      <c r="E8" s="10" t="n">
        <v>94</v>
      </c>
      <c r="F8" s="10" t="n">
        <v>87</v>
      </c>
      <c r="G8" s="10" t="n">
        <v>100</v>
      </c>
      <c r="H8" s="7" t="n">
        <f aca="false">B8</f>
        <v>88</v>
      </c>
      <c r="I8" s="7" t="n">
        <f aca="false">LOOKUP(9.99E+307,B8:G8)</f>
        <v>100</v>
      </c>
      <c r="J8" s="11" t="n">
        <f aca="false">I8-H8</f>
        <v>12</v>
      </c>
    </row>
    <row r="9" customFormat="false" ht="15" hidden="false" customHeight="false" outlineLevel="0" collapsed="false">
      <c r="A9" s="6" t="s">
        <v>40</v>
      </c>
      <c r="B9" s="10" t="n">
        <v>67</v>
      </c>
      <c r="C9" s="10" t="n">
        <v>74</v>
      </c>
      <c r="D9" s="10" t="n">
        <v>71</v>
      </c>
      <c r="E9" s="10" t="n">
        <v>91</v>
      </c>
      <c r="F9" s="10" t="n">
        <v>88</v>
      </c>
      <c r="G9" s="10" t="n">
        <v>74</v>
      </c>
      <c r="H9" s="7" t="n">
        <f aca="false">B9</f>
        <v>67</v>
      </c>
      <c r="I9" s="7" t="n">
        <f aca="false">LOOKUP(9.99E+307,B9:G9)</f>
        <v>74</v>
      </c>
      <c r="J9" s="11" t="n">
        <f aca="false">I9-H9</f>
        <v>7</v>
      </c>
    </row>
    <row r="10" customFormat="false" ht="15" hidden="false" customHeight="false" outlineLevel="0" collapsed="false">
      <c r="A10" s="6" t="s">
        <v>41</v>
      </c>
      <c r="B10" s="10" t="n">
        <v>51</v>
      </c>
      <c r="C10" s="10" t="n">
        <v>57</v>
      </c>
      <c r="D10" s="10" t="n">
        <v>68</v>
      </c>
      <c r="E10" s="10" t="n">
        <v>86</v>
      </c>
      <c r="F10" s="10" t="n">
        <v>73</v>
      </c>
      <c r="G10" s="10" t="n">
        <v>82</v>
      </c>
      <c r="H10" s="7" t="n">
        <f aca="false">B10</f>
        <v>51</v>
      </c>
      <c r="I10" s="7" t="n">
        <f aca="false">LOOKUP(9.99E+307,B10:G10)</f>
        <v>82</v>
      </c>
      <c r="J10" s="11" t="n">
        <f aca="false">I10-H10</f>
        <v>31</v>
      </c>
    </row>
    <row r="11" customFormat="false" ht="15" hidden="false" customHeight="false" outlineLevel="0" collapsed="false">
      <c r="A11" s="6" t="s">
        <v>42</v>
      </c>
      <c r="B11" s="10" t="n">
        <v>62</v>
      </c>
      <c r="C11" s="10" t="n">
        <v>61</v>
      </c>
      <c r="D11" s="10" t="n">
        <v>69</v>
      </c>
      <c r="E11" s="10" t="n">
        <v>78</v>
      </c>
      <c r="F11" s="10" t="n">
        <v>73</v>
      </c>
      <c r="G11" s="10" t="n">
        <v>71</v>
      </c>
      <c r="H11" s="7" t="n">
        <f aca="false">B11</f>
        <v>62</v>
      </c>
      <c r="I11" s="7" t="n">
        <f aca="false">LOOKUP(9.99E+307,B11:G11)</f>
        <v>71</v>
      </c>
      <c r="J11" s="11" t="n">
        <f aca="false">I11-H11</f>
        <v>9</v>
      </c>
    </row>
    <row r="12" customFormat="false" ht="15" hidden="false" customHeight="false" outlineLevel="0" collapsed="false">
      <c r="A12" s="12" t="s">
        <v>43</v>
      </c>
      <c r="B12" s="13" t="n">
        <f aca="false">IF(COUNT(B6:B11)=0,"",AVERAGE(B6:B11))</f>
        <v>65</v>
      </c>
      <c r="C12" s="13" t="n">
        <f aca="false">IF(COUNT(C6:C11)=0,"",AVERAGE(C6:C11))</f>
        <v>73.1666666666667</v>
      </c>
      <c r="D12" s="13" t="n">
        <f aca="false">IF(COUNT(D6:D11)=0,"",AVERAGE(D6:D11))</f>
        <v>73.8333333333333</v>
      </c>
      <c r="E12" s="13" t="n">
        <f aca="false">IF(COUNT(E6:E11)=0,"",AVERAGE(E6:E11))</f>
        <v>81.3333333333333</v>
      </c>
      <c r="F12" s="13" t="n">
        <f aca="false">IF(COUNT(F6:F11)=0,"",AVERAGE(F6:F11))</f>
        <v>79</v>
      </c>
      <c r="G12" s="13" t="n">
        <f aca="false">IF(COUNT(G6:G11)=0,"",AVERAGE(G6:G11))</f>
        <v>79.1666666666667</v>
      </c>
      <c r="H12" s="13" t="n">
        <f aca="false">B12</f>
        <v>65</v>
      </c>
      <c r="I12" s="13" t="n">
        <f aca="false">LOOKUP(9.99E+307,B12:G12)</f>
        <v>79.1666666666667</v>
      </c>
      <c r="J12" s="14" t="n">
        <f aca="false">I12-H12</f>
        <v>14.1666666666667</v>
      </c>
    </row>
    <row r="14" customFormat="false" ht="15" hidden="false" customHeight="false" outlineLevel="0" collapsed="false">
      <c r="A14" s="4" t="s">
        <v>44</v>
      </c>
    </row>
    <row r="15" customFormat="false" ht="33.75" hidden="false" customHeight="true" outlineLevel="0" collapsed="false">
      <c r="A15" s="5" t="s">
        <v>28</v>
      </c>
      <c r="B15" s="5" t="s">
        <v>29</v>
      </c>
      <c r="C15" s="5" t="s">
        <v>30</v>
      </c>
      <c r="D15" s="5" t="s">
        <v>31</v>
      </c>
      <c r="E15" s="5" t="s">
        <v>32</v>
      </c>
      <c r="F15" s="5" t="s">
        <v>33</v>
      </c>
      <c r="G15" s="5" t="s">
        <v>34</v>
      </c>
      <c r="H15" s="5" t="s">
        <v>35</v>
      </c>
      <c r="I15" s="5" t="s">
        <v>36</v>
      </c>
      <c r="J15" s="5" t="s">
        <v>19</v>
      </c>
    </row>
    <row r="16" customFormat="false" ht="15" hidden="false" customHeight="false" outlineLevel="0" collapsed="false">
      <c r="A16" s="6" t="s">
        <v>37</v>
      </c>
      <c r="B16" s="10" t="n">
        <v>14</v>
      </c>
      <c r="C16" s="10"/>
      <c r="D16" s="10" t="n">
        <v>16</v>
      </c>
      <c r="E16" s="10" t="n">
        <v>16</v>
      </c>
      <c r="F16" s="10" t="n">
        <v>15</v>
      </c>
      <c r="G16" s="10" t="n">
        <v>16</v>
      </c>
      <c r="H16" s="7" t="n">
        <f aca="false">B16</f>
        <v>14</v>
      </c>
      <c r="I16" s="7" t="n">
        <f aca="false">LOOKUP(9.99E+307,B16:G16)</f>
        <v>16</v>
      </c>
      <c r="J16" s="11" t="n">
        <f aca="false">I16-H16</f>
        <v>2</v>
      </c>
    </row>
    <row r="17" customFormat="false" ht="15" hidden="false" customHeight="false" outlineLevel="0" collapsed="false">
      <c r="A17" s="6" t="s">
        <v>38</v>
      </c>
      <c r="B17" s="10" t="n">
        <v>17</v>
      </c>
      <c r="C17" s="10"/>
      <c r="D17" s="10" t="n">
        <v>17</v>
      </c>
      <c r="E17" s="10" t="n">
        <v>15</v>
      </c>
      <c r="F17" s="10" t="n">
        <v>17</v>
      </c>
      <c r="G17" s="10" t="n">
        <v>17</v>
      </c>
      <c r="H17" s="7" t="n">
        <f aca="false">B17</f>
        <v>17</v>
      </c>
      <c r="I17" s="7" t="n">
        <f aca="false">LOOKUP(9.99E+307,B17:G17)</f>
        <v>17</v>
      </c>
      <c r="J17" s="11" t="n">
        <f aca="false">I17-H17</f>
        <v>0</v>
      </c>
    </row>
    <row r="18" customFormat="false" ht="15" hidden="false" customHeight="false" outlineLevel="0" collapsed="false">
      <c r="A18" s="6" t="s">
        <v>39</v>
      </c>
      <c r="B18" s="10" t="n">
        <v>17</v>
      </c>
      <c r="C18" s="10"/>
      <c r="D18" s="10" t="n">
        <v>17</v>
      </c>
      <c r="E18" s="10" t="n">
        <v>17</v>
      </c>
      <c r="F18" s="10" t="n">
        <v>17</v>
      </c>
      <c r="G18" s="10" t="n">
        <v>17</v>
      </c>
      <c r="H18" s="7" t="n">
        <f aca="false">B18</f>
        <v>17</v>
      </c>
      <c r="I18" s="7" t="n">
        <f aca="false">LOOKUP(9.99E+307,B18:G18)</f>
        <v>17</v>
      </c>
      <c r="J18" s="11" t="n">
        <f aca="false">I18-H18</f>
        <v>0</v>
      </c>
    </row>
    <row r="19" customFormat="false" ht="15" hidden="false" customHeight="false" outlineLevel="0" collapsed="false">
      <c r="A19" s="6" t="s">
        <v>40</v>
      </c>
      <c r="B19" s="10" t="n">
        <v>15</v>
      </c>
      <c r="C19" s="10"/>
      <c r="D19" s="10" t="n">
        <v>15</v>
      </c>
      <c r="E19" s="10" t="n">
        <v>17</v>
      </c>
      <c r="F19" s="10" t="n">
        <v>17</v>
      </c>
      <c r="G19" s="10" t="n">
        <v>15</v>
      </c>
      <c r="H19" s="7" t="n">
        <f aca="false">B19</f>
        <v>15</v>
      </c>
      <c r="I19" s="7" t="n">
        <f aca="false">LOOKUP(9.99E+307,B19:G19)</f>
        <v>15</v>
      </c>
      <c r="J19" s="11" t="n">
        <f aca="false">I19-H19</f>
        <v>0</v>
      </c>
    </row>
    <row r="20" customFormat="false" ht="15" hidden="false" customHeight="false" outlineLevel="0" collapsed="false">
      <c r="A20" s="6" t="s">
        <v>41</v>
      </c>
      <c r="B20" s="10" t="n">
        <v>16</v>
      </c>
      <c r="C20" s="10"/>
      <c r="D20" s="10" t="n">
        <v>16</v>
      </c>
      <c r="E20" s="10" t="n">
        <v>16</v>
      </c>
      <c r="F20" s="10" t="n">
        <v>17</v>
      </c>
      <c r="G20" s="10" t="n">
        <v>17</v>
      </c>
      <c r="H20" s="7" t="n">
        <f aca="false">B20</f>
        <v>16</v>
      </c>
      <c r="I20" s="7" t="n">
        <f aca="false">LOOKUP(9.99E+307,B20:G20)</f>
        <v>17</v>
      </c>
      <c r="J20" s="11" t="n">
        <f aca="false">I20-H20</f>
        <v>1</v>
      </c>
    </row>
    <row r="21" customFormat="false" ht="15" hidden="false" customHeight="false" outlineLevel="0" collapsed="false">
      <c r="A21" s="6" t="s">
        <v>42</v>
      </c>
      <c r="B21" s="10"/>
      <c r="C21" s="10"/>
      <c r="D21" s="10" t="n">
        <v>16</v>
      </c>
      <c r="E21" s="10" t="n">
        <v>17</v>
      </c>
      <c r="F21" s="10" t="n">
        <v>17</v>
      </c>
      <c r="G21" s="10" t="n">
        <v>16</v>
      </c>
      <c r="H21" s="7" t="n">
        <f aca="false">D21</f>
        <v>16</v>
      </c>
      <c r="I21" s="7" t="n">
        <f aca="false">LOOKUP(9.99E+307,B21:G21)</f>
        <v>16</v>
      </c>
      <c r="J21" s="11" t="n">
        <f aca="false">I21-H21</f>
        <v>0</v>
      </c>
    </row>
    <row r="22" customFormat="false" ht="15" hidden="false" customHeight="false" outlineLevel="0" collapsed="false">
      <c r="A22" s="12" t="s">
        <v>43</v>
      </c>
      <c r="B22" s="13" t="n">
        <f aca="false">IF(COUNT(B16:B21)=0,"",AVERAGE(B16:B21))</f>
        <v>15.8</v>
      </c>
      <c r="C22" s="13" t="str">
        <f aca="false">IF(COUNT(C16:C21)=0,"",AVERAGE(C16:C21))</f>
        <v/>
      </c>
      <c r="D22" s="13" t="n">
        <f aca="false">IF(COUNT(D16:D21)=0,"",AVERAGE(D16:D21))</f>
        <v>16.1666666666667</v>
      </c>
      <c r="E22" s="13" t="n">
        <f aca="false">IF(COUNT(E16:E21)=0,"",AVERAGE(E16:E21))</f>
        <v>16.3333333333333</v>
      </c>
      <c r="F22" s="13" t="n">
        <f aca="false">IF(COUNT(F16:F21)=0,"",AVERAGE(F16:F21))</f>
        <v>16.6666666666667</v>
      </c>
      <c r="G22" s="13" t="n">
        <f aca="false">IF(COUNT(G16:G21)=0,"",AVERAGE(G16:G21))</f>
        <v>16.3333333333333</v>
      </c>
      <c r="H22" s="13" t="n">
        <f aca="false">B22</f>
        <v>15.8</v>
      </c>
      <c r="I22" s="13" t="n">
        <f aca="false">LOOKUP(9.99E+307,B22:G22)</f>
        <v>16.3333333333333</v>
      </c>
      <c r="J22" s="14" t="n">
        <f aca="false">I22-H22</f>
        <v>0.533333333333331</v>
      </c>
    </row>
    <row r="24" customFormat="false" ht="15" hidden="false" customHeight="false" outlineLevel="0" collapsed="false">
      <c r="A24" s="4" t="s">
        <v>45</v>
      </c>
    </row>
    <row r="25" customFormat="false" ht="33.75" hidden="false" customHeight="true" outlineLevel="0" collapsed="false">
      <c r="A25" s="5" t="s">
        <v>28</v>
      </c>
      <c r="B25" s="5" t="s">
        <v>29</v>
      </c>
      <c r="C25" s="5" t="s">
        <v>30</v>
      </c>
      <c r="D25" s="5" t="s">
        <v>31</v>
      </c>
      <c r="E25" s="5" t="s">
        <v>32</v>
      </c>
      <c r="F25" s="5" t="s">
        <v>33</v>
      </c>
      <c r="G25" s="5" t="s">
        <v>34</v>
      </c>
      <c r="H25" s="5" t="s">
        <v>35</v>
      </c>
      <c r="I25" s="5" t="s">
        <v>36</v>
      </c>
      <c r="J25" s="5" t="s">
        <v>19</v>
      </c>
    </row>
    <row r="26" customFormat="false" ht="15" hidden="false" customHeight="false" outlineLevel="0" collapsed="false">
      <c r="A26" s="6" t="s">
        <v>37</v>
      </c>
      <c r="B26" s="10" t="n">
        <v>16</v>
      </c>
      <c r="C26" s="10"/>
      <c r="D26" s="10" t="n">
        <v>16</v>
      </c>
      <c r="E26" s="10" t="n">
        <v>13</v>
      </c>
      <c r="F26" s="10" t="n">
        <v>16</v>
      </c>
      <c r="G26" s="10" t="n">
        <v>18</v>
      </c>
      <c r="H26" s="7" t="n">
        <f aca="false">B26</f>
        <v>16</v>
      </c>
      <c r="I26" s="7" t="n">
        <f aca="false">LOOKUP(9.99E+307,B26:G26)</f>
        <v>18</v>
      </c>
      <c r="J26" s="11" t="n">
        <f aca="false">I26-H26</f>
        <v>2</v>
      </c>
    </row>
    <row r="27" customFormat="false" ht="15" hidden="false" customHeight="false" outlineLevel="0" collapsed="false">
      <c r="A27" s="6" t="s">
        <v>38</v>
      </c>
      <c r="B27" s="10" t="n">
        <v>11</v>
      </c>
      <c r="C27" s="10"/>
      <c r="D27" s="10" t="n">
        <v>18</v>
      </c>
      <c r="E27" s="10" t="n">
        <v>21</v>
      </c>
      <c r="F27" s="10" t="n">
        <v>23</v>
      </c>
      <c r="G27" s="10" t="n">
        <v>17</v>
      </c>
      <c r="H27" s="7" t="n">
        <f aca="false">B27</f>
        <v>11</v>
      </c>
      <c r="I27" s="7" t="n">
        <f aca="false">LOOKUP(9.99E+307,B27:G27)</f>
        <v>17</v>
      </c>
      <c r="J27" s="11" t="n">
        <f aca="false">I27-H27</f>
        <v>6</v>
      </c>
    </row>
    <row r="28" customFormat="false" ht="15" hidden="false" customHeight="false" outlineLevel="0" collapsed="false">
      <c r="A28" s="6" t="s">
        <v>39</v>
      </c>
      <c r="B28" s="10" t="n">
        <v>23</v>
      </c>
      <c r="C28" s="10"/>
      <c r="D28" s="10" t="n">
        <v>24</v>
      </c>
      <c r="E28" s="10" t="n">
        <v>26</v>
      </c>
      <c r="F28" s="10" t="n">
        <v>23</v>
      </c>
      <c r="G28" s="10" t="n">
        <v>28</v>
      </c>
      <c r="H28" s="7" t="n">
        <f aca="false">B28</f>
        <v>23</v>
      </c>
      <c r="I28" s="7" t="n">
        <f aca="false">LOOKUP(9.99E+307,B28:G28)</f>
        <v>28</v>
      </c>
      <c r="J28" s="11" t="n">
        <f aca="false">I28-H28</f>
        <v>5</v>
      </c>
    </row>
    <row r="29" customFormat="false" ht="15" hidden="false" customHeight="false" outlineLevel="0" collapsed="false">
      <c r="A29" s="6" t="s">
        <v>40</v>
      </c>
      <c r="B29" s="10" t="n">
        <v>17</v>
      </c>
      <c r="C29" s="10"/>
      <c r="D29" s="10" t="n">
        <v>18</v>
      </c>
      <c r="E29" s="10" t="n">
        <v>24</v>
      </c>
      <c r="F29" s="10" t="n">
        <v>24</v>
      </c>
      <c r="G29" s="10" t="n">
        <v>20</v>
      </c>
      <c r="H29" s="7" t="n">
        <f aca="false">B29</f>
        <v>17</v>
      </c>
      <c r="I29" s="7" t="n">
        <f aca="false">LOOKUP(9.99E+307,B29:G29)</f>
        <v>20</v>
      </c>
      <c r="J29" s="11" t="n">
        <f aca="false">I29-H29</f>
        <v>3</v>
      </c>
    </row>
    <row r="30" customFormat="false" ht="15" hidden="false" customHeight="false" outlineLevel="0" collapsed="false">
      <c r="A30" s="6" t="s">
        <v>41</v>
      </c>
      <c r="B30" s="10" t="n">
        <v>8</v>
      </c>
      <c r="C30" s="10"/>
      <c r="D30" s="10" t="n">
        <v>16</v>
      </c>
      <c r="E30" s="10" t="n">
        <v>23</v>
      </c>
      <c r="F30" s="10" t="n">
        <v>18</v>
      </c>
      <c r="G30" s="10" t="n">
        <v>21</v>
      </c>
      <c r="H30" s="7" t="n">
        <f aca="false">B30</f>
        <v>8</v>
      </c>
      <c r="I30" s="7" t="n">
        <f aca="false">LOOKUP(9.99E+307,B30:G30)</f>
        <v>21</v>
      </c>
      <c r="J30" s="11" t="n">
        <f aca="false">I30-H30</f>
        <v>13</v>
      </c>
    </row>
    <row r="31" customFormat="false" ht="15" hidden="false" customHeight="false" outlineLevel="0" collapsed="false">
      <c r="A31" s="6" t="s">
        <v>42</v>
      </c>
      <c r="B31" s="10"/>
      <c r="C31" s="10"/>
      <c r="D31" s="10" t="n">
        <v>16</v>
      </c>
      <c r="E31" s="10" t="n">
        <v>19</v>
      </c>
      <c r="F31" s="10" t="n">
        <v>17</v>
      </c>
      <c r="G31" s="10" t="n">
        <v>18</v>
      </c>
      <c r="H31" s="7" t="n">
        <f aca="false">D31</f>
        <v>16</v>
      </c>
      <c r="I31" s="7" t="n">
        <f aca="false">LOOKUP(9.99E+307,B31:G31)</f>
        <v>18</v>
      </c>
      <c r="J31" s="11" t="n">
        <f aca="false">I31-H31</f>
        <v>2</v>
      </c>
    </row>
    <row r="32" customFormat="false" ht="15" hidden="false" customHeight="false" outlineLevel="0" collapsed="false">
      <c r="A32" s="12" t="s">
        <v>43</v>
      </c>
      <c r="B32" s="13" t="n">
        <f aca="false">IF(COUNT(B26:B31)=0,"",AVERAGE(B26:B31))</f>
        <v>15</v>
      </c>
      <c r="C32" s="13" t="str">
        <f aca="false">IF(COUNT(C26:C31)=0,"",AVERAGE(C26:C31))</f>
        <v/>
      </c>
      <c r="D32" s="13" t="n">
        <f aca="false">IF(COUNT(D26:D31)=0,"",AVERAGE(D26:D31))</f>
        <v>18</v>
      </c>
      <c r="E32" s="13" t="n">
        <f aca="false">IF(COUNT(E26:E31)=0,"",AVERAGE(E26:E31))</f>
        <v>21</v>
      </c>
      <c r="F32" s="13" t="n">
        <f aca="false">IF(COUNT(F26:F31)=0,"",AVERAGE(F26:F31))</f>
        <v>20.1666666666667</v>
      </c>
      <c r="G32" s="13" t="n">
        <f aca="false">IF(COUNT(G26:G31)=0,"",AVERAGE(G26:G31))</f>
        <v>20.3333333333333</v>
      </c>
      <c r="H32" s="13" t="n">
        <f aca="false">B32</f>
        <v>15</v>
      </c>
      <c r="I32" s="13" t="n">
        <f aca="false">LOOKUP(9.99E+307,B32:G32)</f>
        <v>20.3333333333333</v>
      </c>
      <c r="J32" s="14" t="n">
        <f aca="false">I32-H32</f>
        <v>5.33333333333333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2"/>
  </cols>
  <sheetData>
    <row r="1" customFormat="false" ht="19.4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4" t="s">
        <v>27</v>
      </c>
    </row>
    <row r="5" customFormat="false" ht="33.75" hidden="false" customHeight="true" outlineLevel="0" collapsed="false">
      <c r="A5" s="5" t="s">
        <v>28</v>
      </c>
      <c r="B5" s="5" t="s">
        <v>48</v>
      </c>
      <c r="C5" s="5" t="s">
        <v>35</v>
      </c>
      <c r="D5" s="5" t="s">
        <v>36</v>
      </c>
      <c r="E5" s="5" t="s">
        <v>19</v>
      </c>
    </row>
    <row r="6" customFormat="false" ht="15" hidden="false" customHeight="false" outlineLevel="0" collapsed="false">
      <c r="A6" s="6" t="s">
        <v>37</v>
      </c>
      <c r="B6" s="10" t="n">
        <v>77</v>
      </c>
      <c r="C6" s="7" t="n">
        <f aca="false">B6</f>
        <v>77</v>
      </c>
      <c r="D6" s="7" t="n">
        <f aca="false">LOOKUP(9.99E+307,B6:B6)</f>
        <v>77</v>
      </c>
      <c r="E6" s="11" t="n">
        <f aca="false">D6-C6</f>
        <v>0</v>
      </c>
    </row>
    <row r="7" customFormat="false" ht="15" hidden="false" customHeight="false" outlineLevel="0" collapsed="false">
      <c r="A7" s="6" t="s">
        <v>38</v>
      </c>
      <c r="B7" s="10" t="n">
        <v>76</v>
      </c>
      <c r="C7" s="7" t="n">
        <f aca="false">B7</f>
        <v>76</v>
      </c>
      <c r="D7" s="7" t="n">
        <f aca="false">LOOKUP(9.99E+307,B7:B7)</f>
        <v>76</v>
      </c>
      <c r="E7" s="11" t="n">
        <f aca="false">D7-C7</f>
        <v>0</v>
      </c>
    </row>
    <row r="8" customFormat="false" ht="15" hidden="false" customHeight="false" outlineLevel="0" collapsed="false">
      <c r="A8" s="6" t="s">
        <v>39</v>
      </c>
      <c r="B8" s="10" t="n">
        <v>95</v>
      </c>
      <c r="C8" s="7" t="n">
        <f aca="false">B8</f>
        <v>95</v>
      </c>
      <c r="D8" s="7" t="n">
        <f aca="false">LOOKUP(9.99E+307,B8:B8)</f>
        <v>95</v>
      </c>
      <c r="E8" s="11" t="n">
        <f aca="false">D8-C8</f>
        <v>0</v>
      </c>
    </row>
    <row r="9" customFormat="false" ht="15" hidden="false" customHeight="false" outlineLevel="0" collapsed="false">
      <c r="A9" s="6" t="s">
        <v>40</v>
      </c>
      <c r="B9" s="10" t="n">
        <v>82</v>
      </c>
      <c r="C9" s="7" t="n">
        <f aca="false">B9</f>
        <v>82</v>
      </c>
      <c r="D9" s="7" t="n">
        <f aca="false">LOOKUP(9.99E+307,B9:B9)</f>
        <v>82</v>
      </c>
      <c r="E9" s="11" t="n">
        <f aca="false">D9-C9</f>
        <v>0</v>
      </c>
    </row>
    <row r="10" customFormat="false" ht="15" hidden="false" customHeight="false" outlineLevel="0" collapsed="false">
      <c r="A10" s="6" t="s">
        <v>41</v>
      </c>
      <c r="B10" s="10" t="n">
        <v>80</v>
      </c>
      <c r="C10" s="7" t="n">
        <f aca="false">B10</f>
        <v>80</v>
      </c>
      <c r="D10" s="7" t="n">
        <f aca="false">LOOKUP(9.99E+307,B10:B10)</f>
        <v>80</v>
      </c>
      <c r="E10" s="11" t="n">
        <f aca="false">D10-C10</f>
        <v>0</v>
      </c>
    </row>
    <row r="11" customFormat="false" ht="15" hidden="false" customHeight="false" outlineLevel="0" collapsed="false">
      <c r="A11" s="6" t="s">
        <v>42</v>
      </c>
      <c r="B11" s="10" t="n">
        <v>77</v>
      </c>
      <c r="C11" s="7" t="n">
        <f aca="false">B11</f>
        <v>77</v>
      </c>
      <c r="D11" s="7" t="n">
        <f aca="false">LOOKUP(9.99E+307,B11:B11)</f>
        <v>77</v>
      </c>
      <c r="E11" s="11" t="n">
        <f aca="false">D11-C11</f>
        <v>0</v>
      </c>
    </row>
    <row r="12" customFormat="false" ht="15" hidden="false" customHeight="false" outlineLevel="0" collapsed="false">
      <c r="A12" s="12" t="s">
        <v>43</v>
      </c>
      <c r="B12" s="13" t="n">
        <f aca="false">IF(COUNT(B6:B11)=0,"",AVERAGE(B6:B11))</f>
        <v>81.1666666666667</v>
      </c>
      <c r="C12" s="13" t="n">
        <f aca="false">B12</f>
        <v>81.1666666666667</v>
      </c>
      <c r="D12" s="13" t="n">
        <f aca="false">LOOKUP(9.99E+307,B12:B12)</f>
        <v>81.1666666666667</v>
      </c>
      <c r="E12" s="14" t="n">
        <f aca="false">D12-C12</f>
        <v>0</v>
      </c>
    </row>
    <row r="14" customFormat="false" ht="15" hidden="false" customHeight="false" outlineLevel="0" collapsed="false">
      <c r="A14" s="4" t="s">
        <v>44</v>
      </c>
    </row>
    <row r="15" customFormat="false" ht="33.75" hidden="false" customHeight="true" outlineLevel="0" collapsed="false">
      <c r="A15" s="5" t="s">
        <v>28</v>
      </c>
      <c r="B15" s="5" t="s">
        <v>48</v>
      </c>
      <c r="C15" s="5" t="s">
        <v>35</v>
      </c>
      <c r="D15" s="5" t="s">
        <v>36</v>
      </c>
      <c r="E15" s="5" t="s">
        <v>19</v>
      </c>
    </row>
    <row r="16" customFormat="false" ht="15" hidden="false" customHeight="false" outlineLevel="0" collapsed="false">
      <c r="A16" s="6" t="s">
        <v>37</v>
      </c>
      <c r="B16" s="10" t="n">
        <v>17</v>
      </c>
      <c r="C16" s="7" t="n">
        <f aca="false">B16</f>
        <v>17</v>
      </c>
      <c r="D16" s="7" t="n">
        <f aca="false">LOOKUP(9.99E+307,B16:B16)</f>
        <v>17</v>
      </c>
      <c r="E16" s="11" t="n">
        <f aca="false">D16-C16</f>
        <v>0</v>
      </c>
    </row>
    <row r="17" customFormat="false" ht="15" hidden="false" customHeight="false" outlineLevel="0" collapsed="false">
      <c r="A17" s="6" t="s">
        <v>38</v>
      </c>
      <c r="B17" s="10" t="n">
        <v>16</v>
      </c>
      <c r="C17" s="7" t="n">
        <f aca="false">B17</f>
        <v>16</v>
      </c>
      <c r="D17" s="7" t="n">
        <f aca="false">LOOKUP(9.99E+307,B17:B17)</f>
        <v>16</v>
      </c>
      <c r="E17" s="11" t="n">
        <f aca="false">D17-C17</f>
        <v>0</v>
      </c>
    </row>
    <row r="18" customFormat="false" ht="15" hidden="false" customHeight="false" outlineLevel="0" collapsed="false">
      <c r="A18" s="6" t="s">
        <v>39</v>
      </c>
      <c r="B18" s="10" t="n">
        <v>17</v>
      </c>
      <c r="C18" s="7" t="n">
        <f aca="false">B18</f>
        <v>17</v>
      </c>
      <c r="D18" s="7" t="n">
        <f aca="false">LOOKUP(9.99E+307,B18:B18)</f>
        <v>17</v>
      </c>
      <c r="E18" s="11" t="n">
        <f aca="false">D18-C18</f>
        <v>0</v>
      </c>
    </row>
    <row r="19" customFormat="false" ht="15" hidden="false" customHeight="false" outlineLevel="0" collapsed="false">
      <c r="A19" s="6" t="s">
        <v>40</v>
      </c>
      <c r="B19" s="10" t="n">
        <v>17</v>
      </c>
      <c r="C19" s="7" t="n">
        <f aca="false">B19</f>
        <v>17</v>
      </c>
      <c r="D19" s="7" t="n">
        <f aca="false">LOOKUP(9.99E+307,B19:B19)</f>
        <v>17</v>
      </c>
      <c r="E19" s="11" t="n">
        <f aca="false">D19-C19</f>
        <v>0</v>
      </c>
    </row>
    <row r="20" customFormat="false" ht="15" hidden="false" customHeight="false" outlineLevel="0" collapsed="false">
      <c r="A20" s="6" t="s">
        <v>41</v>
      </c>
      <c r="B20" s="10" t="n">
        <v>17</v>
      </c>
      <c r="C20" s="7" t="n">
        <f aca="false">B20</f>
        <v>17</v>
      </c>
      <c r="D20" s="7" t="n">
        <f aca="false">LOOKUP(9.99E+307,B20:B20)</f>
        <v>17</v>
      </c>
      <c r="E20" s="11" t="n">
        <f aca="false">D20-C20</f>
        <v>0</v>
      </c>
    </row>
    <row r="21" customFormat="false" ht="15" hidden="false" customHeight="false" outlineLevel="0" collapsed="false">
      <c r="A21" s="6" t="s">
        <v>42</v>
      </c>
      <c r="B21" s="10" t="n">
        <v>17</v>
      </c>
      <c r="C21" s="7" t="n">
        <f aca="false">B21</f>
        <v>17</v>
      </c>
      <c r="D21" s="7" t="n">
        <f aca="false">LOOKUP(9.99E+307,B21:B21)</f>
        <v>17</v>
      </c>
      <c r="E21" s="11" t="n">
        <f aca="false">D21-C21</f>
        <v>0</v>
      </c>
    </row>
    <row r="22" customFormat="false" ht="15" hidden="false" customHeight="false" outlineLevel="0" collapsed="false">
      <c r="A22" s="12" t="s">
        <v>43</v>
      </c>
      <c r="B22" s="13" t="n">
        <f aca="false">IF(COUNT(B16:B21)=0,"",AVERAGE(B16:B21))</f>
        <v>16.8333333333333</v>
      </c>
      <c r="C22" s="13" t="n">
        <f aca="false">B22</f>
        <v>16.8333333333333</v>
      </c>
      <c r="D22" s="13" t="n">
        <f aca="false">LOOKUP(9.99E+307,B22:B22)</f>
        <v>16.8333333333333</v>
      </c>
      <c r="E22" s="14" t="n">
        <f aca="false">D22-C22</f>
        <v>0</v>
      </c>
    </row>
    <row r="24" customFormat="false" ht="15" hidden="false" customHeight="false" outlineLevel="0" collapsed="false">
      <c r="A24" s="4" t="s">
        <v>45</v>
      </c>
    </row>
    <row r="25" customFormat="false" ht="33.75" hidden="false" customHeight="true" outlineLevel="0" collapsed="false">
      <c r="A25" s="5" t="s">
        <v>28</v>
      </c>
      <c r="B25" s="5" t="s">
        <v>48</v>
      </c>
      <c r="C25" s="5" t="s">
        <v>35</v>
      </c>
      <c r="D25" s="5" t="s">
        <v>36</v>
      </c>
      <c r="E25" s="5" t="s">
        <v>19</v>
      </c>
    </row>
    <row r="26" customFormat="false" ht="15" hidden="false" customHeight="false" outlineLevel="0" collapsed="false">
      <c r="A26" s="6" t="s">
        <v>37</v>
      </c>
      <c r="B26" s="10" t="n">
        <v>19</v>
      </c>
      <c r="C26" s="7" t="n">
        <f aca="false">B26</f>
        <v>19</v>
      </c>
      <c r="D26" s="7" t="n">
        <f aca="false">LOOKUP(9.99E+307,B26:B26)</f>
        <v>19</v>
      </c>
      <c r="E26" s="11" t="n">
        <f aca="false">D26-C26</f>
        <v>0</v>
      </c>
    </row>
    <row r="27" customFormat="false" ht="15" hidden="false" customHeight="false" outlineLevel="0" collapsed="false">
      <c r="A27" s="6" t="s">
        <v>38</v>
      </c>
      <c r="B27" s="10" t="n">
        <v>19</v>
      </c>
      <c r="C27" s="7" t="n">
        <f aca="false">B27</f>
        <v>19</v>
      </c>
      <c r="D27" s="7" t="n">
        <f aca="false">LOOKUP(9.99E+307,B27:B27)</f>
        <v>19</v>
      </c>
      <c r="E27" s="11" t="n">
        <f aca="false">D27-C27</f>
        <v>0</v>
      </c>
    </row>
    <row r="28" customFormat="false" ht="15" hidden="false" customHeight="false" outlineLevel="0" collapsed="false">
      <c r="A28" s="6" t="s">
        <v>39</v>
      </c>
      <c r="B28" s="10" t="n">
        <v>26</v>
      </c>
      <c r="C28" s="7" t="n">
        <f aca="false">B28</f>
        <v>26</v>
      </c>
      <c r="D28" s="7" t="n">
        <f aca="false">LOOKUP(9.99E+307,B28:B28)</f>
        <v>26</v>
      </c>
      <c r="E28" s="11" t="n">
        <f aca="false">D28-C28</f>
        <v>0</v>
      </c>
    </row>
    <row r="29" customFormat="false" ht="15" hidden="false" customHeight="false" outlineLevel="0" collapsed="false">
      <c r="A29" s="6" t="s">
        <v>40</v>
      </c>
      <c r="B29" s="10" t="n">
        <v>21</v>
      </c>
      <c r="C29" s="7" t="n">
        <f aca="false">B29</f>
        <v>21</v>
      </c>
      <c r="D29" s="7" t="n">
        <f aca="false">LOOKUP(9.99E+307,B29:B29)</f>
        <v>21</v>
      </c>
      <c r="E29" s="11" t="n">
        <f aca="false">D29-C29</f>
        <v>0</v>
      </c>
    </row>
    <row r="30" customFormat="false" ht="15" hidden="false" customHeight="false" outlineLevel="0" collapsed="false">
      <c r="A30" s="6" t="s">
        <v>41</v>
      </c>
      <c r="B30" s="10" t="n">
        <v>20</v>
      </c>
      <c r="C30" s="7" t="n">
        <f aca="false">B30</f>
        <v>20</v>
      </c>
      <c r="D30" s="7" t="n">
        <f aca="false">LOOKUP(9.99E+307,B30:B30)</f>
        <v>20</v>
      </c>
      <c r="E30" s="11" t="n">
        <f aca="false">D30-C30</f>
        <v>0</v>
      </c>
    </row>
    <row r="31" customFormat="false" ht="15" hidden="false" customHeight="false" outlineLevel="0" collapsed="false">
      <c r="A31" s="6" t="s">
        <v>42</v>
      </c>
      <c r="B31" s="10" t="n">
        <v>19</v>
      </c>
      <c r="C31" s="7" t="n">
        <f aca="false">B31</f>
        <v>19</v>
      </c>
      <c r="D31" s="7" t="n">
        <f aca="false">LOOKUP(9.99E+307,B31:B31)</f>
        <v>19</v>
      </c>
      <c r="E31" s="11" t="n">
        <f aca="false">D31-C31</f>
        <v>0</v>
      </c>
    </row>
    <row r="32" customFormat="false" ht="15" hidden="false" customHeight="false" outlineLevel="0" collapsed="false">
      <c r="A32" s="12" t="s">
        <v>43</v>
      </c>
      <c r="B32" s="13" t="n">
        <f aca="false">IF(COUNT(B26:B31)=0,"",AVERAGE(B26:B31))</f>
        <v>20.6666666666667</v>
      </c>
      <c r="C32" s="13" t="n">
        <f aca="false">B32</f>
        <v>20.6666666666667</v>
      </c>
      <c r="D32" s="13" t="n">
        <f aca="false">LOOKUP(9.99E+307,B32:B32)</f>
        <v>20.6666666666667</v>
      </c>
      <c r="E32" s="14" t="n">
        <f aca="false">D32-C32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2026-10-28T05:01:48Z</dcterms:created>
  <dc:creator>openpyxl</dc:creator>
  <dc:description/>
  <dc:language>en-US</dc:language>
  <cp:lastModifiedBy/>
  <dcterms:modified xsi:type="dcterms:W3CDTF">2026-10-28T05:01:50Z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