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<sst xmlns="http://schemas.openxmlformats.org/spreadsheetml/2006/main" count="52" uniqueCount="36">
  <si>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</si>
  <si>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1 75.5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2 82.0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</si>
  <si>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65.6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+16.4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</si>
  <si>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김지수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김채율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이서연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황재성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서예준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</si>
  <si>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</si>
  <si>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</si>
  <si>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</si>
  <si>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</si>
  <si>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</si>
  <si>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</si>
  <si>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</si>
  <si>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</si>
  <si>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</si>
  <si>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</si>
  <si>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</si>
  <si>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</si>
  <si>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</si>
  <si>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</si>
  <si>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</si>
  <si>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65.6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80.8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(+15.2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</si>
  <si>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</si>
  <si>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서예준 </t>
    </r>
    <r>
      <rPr>
        <sz val="11"/>
        <rFont val="Arial"/>
        <family val="0"/>
        <charset val="1"/>
      </rPr>
      <t xml:space="preserve">51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(+31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</si>
  <si>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</si>
  <si>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</si>
  <si>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</si>
  <si>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</si>
  <si>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</si>
  <si>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</si>
  <si>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</si>
  <si>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</si>
  <si>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</si>
  <si>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</si>
  <si>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</si>
  <si>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82.0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</si>
  <si>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아직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뿐입니다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첫 시험보다 반 평균이 </t>
    </r>
    <r>
      <rPr>
        <sz val="11"/>
        <rFont val="Arial"/>
        <family val="0"/>
        <charset val="1"/>
      </rPr>
      <t xml:space="preserve">16</t>
    </r>
    <r>
      <rPr>
        <sz val="11"/>
        <rFont val="WenQuanYi Zen Hei"/>
        <family val="2"/>
      </rPr>
      <t xml:space="preserve">점 이상 높습니다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</si>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</sst>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46AAC4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요약'!$B$8:$D$8</c:f>
              <c:strCache>
                <c:ptCount val="3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</c:strCache>
            </c:strRef>
          </c:cat>
          <c:val>
            <c:numRef>
              <c:f>'총점 성장 요약'!$B$14:$D$14</c:f>
              <c:numCache>
                <c:formatCode>0.0</c:formatCode>
                <c:ptCount val="3"/>
                <c:pt idx="0">
                  <c:v>65.6</c:v>
                </c:pt>
                <c:pt idx="1">
                  <c:v>75.5333333333333</c:v>
                </c:pt>
                <c:pt idx="2">
                  <c:v>82</c:v>
                </c:pt>
              </c:numCache>
            </c:numRef>
          </c:val>
        </c:ser>
        <c:gapWidth val="150"/>
        <c:overlap val="0"/>
        <c:axId val="41037890"/>
        <c:axId val="51768170"/>
      </c:barChart>
      <c:catAx>
        <c:axId val="41037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768170"/>
        <c:crosses val="autoZero"/>
        <c:auto val="1"/>
        <c:lblAlgn val="ctr"/>
        <c:lblOffset val="100"/>
        <c:noMultiLvlLbl val="0"/>
      </c:catAx>
      <c:valAx>
        <c:axId val="5176817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378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요약'!B8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요약'!$A$9:$A$13</c:f>
              <c:strCache>
                <c:ptCount val="5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</c:strCache>
            </c:strRef>
          </c:cat>
          <c:val>
            <c:numRef>
              <c:f>'총점 성장 요약'!$B$9:$B$13</c:f>
              <c:numCache>
                <c:formatCode>0</c:formatCode>
                <c:ptCount val="5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</c:numCache>
            </c:numRef>
          </c:val>
        </c:ser>
        <c:ser>
          <c:idx val="1"/>
          <c:order val="1"/>
          <c:tx>
            <c:strRef>
              <c:f>'총점 성장 요약'!C8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요약'!$A$9:$A$13</c:f>
              <c:strCache>
                <c:ptCount val="5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</c:strCache>
            </c:strRef>
          </c:cat>
          <c:val>
            <c:numRef>
              <c:f>'총점 성장 요약'!$C$9:$C$13</c:f>
              <c:numCache>
                <c:formatCode>0.0</c:formatCode>
                <c:ptCount val="5"/>
                <c:pt idx="0">
                  <c:v>68</c:v>
                </c:pt>
                <c:pt idx="1">
                  <c:v>73</c:v>
                </c:pt>
                <c:pt idx="2">
                  <c:v>91.6666666666667</c:v>
                </c:pt>
                <c:pt idx="3">
                  <c:v>76.3333333333333</c:v>
                </c:pt>
                <c:pt idx="4">
                  <c:v>68.6666666666667</c:v>
                </c:pt>
              </c:numCache>
            </c:numRef>
          </c:val>
        </c:ser>
        <c:ser>
          <c:idx val="2"/>
          <c:order val="2"/>
          <c:tx>
            <c:strRef>
              <c:f>'총점 성장 요약'!D8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요약'!$A$9:$A$13</c:f>
              <c:strCache>
                <c:ptCount val="5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</c:strCache>
            </c:strRef>
          </c:cat>
          <c:val>
            <c:numRef>
              <c:f>'총점 성장 요약'!$D$9:$D$13</c:f>
              <c:numCache>
                <c:formatCode>0.0</c:formatCode>
                <c:ptCount val="5"/>
                <c:pt idx="0">
                  <c:v>77</c:v>
                </c:pt>
                <c:pt idx="1">
                  <c:v>76</c:v>
                </c:pt>
                <c:pt idx="2">
                  <c:v>95</c:v>
                </c:pt>
                <c:pt idx="3">
                  <c:v>82</c:v>
                </c:pt>
                <c:pt idx="4">
                  <c:v>80</c:v>
                </c:pt>
              </c:numCache>
            </c:numRef>
          </c:val>
        </c:ser>
        <c:gapWidth val="150"/>
        <c:overlap val="0"/>
        <c:axId val="19316865"/>
        <c:axId val="24730320"/>
      </c:barChart>
      <c:catAx>
        <c:axId val="193168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30320"/>
        <c:crosses val="autoZero"/>
        <c:auto val="1"/>
        <c:lblAlgn val="ctr"/>
        <c:lblOffset val="100"/>
        <c:noMultiLvlLbl val="0"/>
      </c:catAx>
      <c:valAx>
        <c:axId val="24730320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168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모의고사'!$B$9:$D$9</c:f>
              <c:numCache>
                <c:formatCode>General</c:formatCode>
                <c:ptCount val="3"/>
                <c:pt idx="0">
                  <c:v>63</c:v>
                </c:pt>
                <c:pt idx="1">
                  <c:v>66</c:v>
                </c:pt>
                <c:pt idx="2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모의고사'!$B$10:$D$10</c:f>
              <c:numCache>
                <c:formatCode>General</c:formatCode>
                <c:ptCount val="3"/>
                <c:pt idx="0">
                  <c:v>59</c:v>
                </c:pt>
                <c:pt idx="1">
                  <c:v>87</c:v>
                </c:pt>
                <c:pt idx="2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모의고사'!$B$11:$D$11</c:f>
              <c:numCache>
                <c:formatCode>General</c:formatCode>
                <c:ptCount val="3"/>
                <c:pt idx="0">
                  <c:v>88</c:v>
                </c:pt>
                <c:pt idx="1">
                  <c:v>87</c:v>
                </c:pt>
                <c:pt idx="2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모의고사'!$B$12:$D$12</c:f>
              <c:numCache>
                <c:formatCode>General</c:formatCode>
                <c:ptCount val="3"/>
                <c:pt idx="0">
                  <c:v>67</c:v>
                </c:pt>
                <c:pt idx="1">
                  <c:v>88</c:v>
                </c:pt>
                <c:pt idx="2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19080">
              <a:solidFill>
                <a:srgbClr val="46aac4"/>
              </a:solidFill>
              <a:round/>
            </a:ln>
          </c:spPr>
          <c:marker>
            <c:symbol val="circle"/>
            <c:size val="6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모의고사'!$B$13:$D$13</c:f>
              <c:numCache>
                <c:formatCode>General</c:formatCode>
                <c:ptCount val="3"/>
                <c:pt idx="0">
                  <c:v>51</c:v>
                </c:pt>
                <c:pt idx="1">
                  <c:v>73</c:v>
                </c:pt>
                <c:pt idx="2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모의고사'!$B$8:$D$8</c:f>
              <c:strCache>
                <c:ptCount val="3"/>
                <c:pt idx="0">
                  <c:v>중1 1차 (2025)
고1</c:v>
                </c:pt>
                <c:pt idx="1">
                  <c:v>중2 1차 (2026)
고1</c:v>
                </c:pt>
                <c:pt idx="2">
                  <c:v>중2 2차 (2026)
고1</c:v>
                </c:pt>
              </c:strCache>
            </c:strRef>
          </c:cat>
          <c:val>
            <c:numRef>
              <c:f>'고1 모의고사'!$B$14:$D$14</c:f>
              <c:numCache>
                <c:formatCode>0.0</c:formatCode>
                <c:ptCount val="3"/>
                <c:pt idx="0">
                  <c:v>65.6</c:v>
                </c:pt>
                <c:pt idx="1">
                  <c:v>80.2</c:v>
                </c:pt>
                <c:pt idx="2">
                  <c:v>80.8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625054"/>
        <c:axId val="44530694"/>
      </c:lineChart>
      <c:catAx>
        <c:axId val="386250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30694"/>
        <c:crosses val="autoZero"/>
        <c:auto val="1"/>
        <c:lblAlgn val="ctr"/>
        <c:lblOffset val="100"/>
        <c:noMultiLvlLbl val="0"/>
      </c:catAx>
      <c:valAx>
        <c:axId val="44530694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2505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모의고사'!E8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모의고사'!$A$9:$A$14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반 평균</c:v>
                </c:pt>
              </c:strCache>
            </c:strRef>
          </c:cat>
          <c:val>
            <c:numRef>
              <c:f>'고1 모의고사'!$E$9:$E$14</c:f>
              <c:numCache>
                <c:formatCode>General</c:formatCode>
                <c:ptCount val="6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65.6</c:v>
                </c:pt>
              </c:numCache>
            </c:numRef>
          </c:val>
        </c:ser>
        <c:ser>
          <c:idx val="1"/>
          <c:order val="1"/>
          <c:tx>
            <c:strRef>
              <c:f>'고1 모의고사'!F8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모의고사'!$A$9:$A$14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반 평균</c:v>
                </c:pt>
              </c:strCache>
            </c:strRef>
          </c:cat>
          <c:val>
            <c:numRef>
              <c:f>'고1 모의고사'!$F$9:$F$14</c:f>
              <c:numCache>
                <c:formatCode>General</c:formatCode>
                <c:ptCount val="6"/>
                <c:pt idx="0">
                  <c:v>75</c:v>
                </c:pt>
                <c:pt idx="1">
                  <c:v>73</c:v>
                </c:pt>
                <c:pt idx="2">
                  <c:v>100</c:v>
                </c:pt>
                <c:pt idx="3">
                  <c:v>74</c:v>
                </c:pt>
                <c:pt idx="4">
                  <c:v>82</c:v>
                </c:pt>
                <c:pt idx="5">
                  <c:v>80.8</c:v>
                </c:pt>
              </c:numCache>
            </c:numRef>
          </c:val>
        </c:ser>
        <c:gapWidth val="150"/>
        <c:overlap val="0"/>
        <c:axId val="94724924"/>
        <c:axId val="32964650"/>
      </c:barChart>
      <c:catAx>
        <c:axId val="94724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64650"/>
        <c:crosses val="autoZero"/>
        <c:auto val="1"/>
        <c:lblAlgn val="ctr"/>
        <c:lblOffset val="100"/>
        <c:noMultiLvlLbl val="0"/>
      </c:catAx>
      <c:valAx>
        <c:axId val="3296465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249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모의고사'!A8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모의고사'!A9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모의고사'!A10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모의고사'!A11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모의고사'!A12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19080">
              <a:solidFill>
                <a:srgbClr val="46aac4"/>
              </a:solidFill>
              <a:round/>
            </a:ln>
          </c:spPr>
          <c:marker>
            <c:symbol val="circle"/>
            <c:size val="6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모의고사'!$B$12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모의고사'!A13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모의고사'!$B$13</c:f>
              <c:numCache>
                <c:formatCode>0.0</c:formatCode>
                <c:ptCount val="1"/>
                <c:pt idx="0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28404"/>
        <c:axId val="32956970"/>
      </c:lineChart>
      <c:catAx>
        <c:axId val="80284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56970"/>
        <c:crosses val="autoZero"/>
        <c:auto val="1"/>
        <c:lblAlgn val="ctr"/>
        <c:lblOffset val="100"/>
        <c:noMultiLvlLbl val="0"/>
      </c:catAx>
      <c:valAx>
        <c:axId val="32956970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840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134280</xdr:rowOff>
    </xdr:from>
    <xdr:to>
      <xdr:col>4</xdr:col>
      <xdr:colOff>1022040</xdr:colOff>
      <xdr:row>32</xdr:row>
      <xdr:rowOff>135720</xdr:rowOff>
    </xdr:to>
    <xdr:graphicFrame>
      <xdr:nvGraphicFramePr>
        <xdr:cNvPr id="0" name="Chart 1"/>
        <xdr:cNvGraphicFramePr/>
      </xdr:nvGraphicFramePr>
      <xdr:xfrm>
        <a:off x="0" y="34383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5</xdr:col>
      <xdr:colOff>1193400</xdr:colOff>
      <xdr:row>52</xdr:row>
      <xdr:rowOff>135720</xdr:rowOff>
    </xdr:to>
    <xdr:graphicFrame>
      <xdr:nvGraphicFramePr>
        <xdr:cNvPr id="1" name="Chart 2"/>
        <xdr:cNvGraphicFramePr/>
      </xdr:nvGraphicFramePr>
      <xdr:xfrm>
        <a:off x="0" y="72486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134280</xdr:rowOff>
    </xdr:from>
    <xdr:to>
      <xdr:col>6</xdr:col>
      <xdr:colOff>332280</xdr:colOff>
      <xdr:row>32</xdr:row>
      <xdr:rowOff>135720</xdr:rowOff>
    </xdr:to>
    <xdr:graphicFrame>
      <xdr:nvGraphicFramePr>
        <xdr:cNvPr id="2" name="Chart 1"/>
        <xdr:cNvGraphicFramePr/>
      </xdr:nvGraphicFramePr>
      <xdr:xfrm>
        <a:off x="0" y="3438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3" name="Chart 2"/>
        <xdr:cNvGraphicFramePr/>
      </xdr:nvGraphicFramePr>
      <xdr:xfrm>
        <a:off x="0" y="72486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134280</xdr:rowOff>
    </xdr:from>
    <xdr:to>
      <xdr:col>6</xdr:col>
      <xdr:colOff>332280</xdr:colOff>
      <xdr:row>31</xdr:row>
      <xdr:rowOff>135720</xdr:rowOff>
    </xdr:to>
    <xdr:graphicFrame>
      <xdr:nvGraphicFramePr>
        <xdr:cNvPr id="4" name="Chart 1"/>
        <xdr:cNvGraphicFramePr/>
      </xdr:nvGraphicFramePr>
      <xdr:xfrm>
        <a:off x="0" y="3209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8" customFormat="false" ht="33.75" hidden="false" customHeight="true" outlineLevel="0" collapsed="false">
      <c r="A8" s="3" t="s">
        <v>5</v>
      </c>
      <c r="B8" s="3" t="s">
        <v>6</v>
      </c>
      <c r="C8" s="3" t="s">
        <v>7</v>
      </c>
      <c r="D8" s="3" t="s">
        <v>8</v>
      </c>
      <c r="E8" s="3" t="s">
        <v>9</v>
      </c>
    </row>
    <row r="9" customFormat="false" ht="15" hidden="false" customHeight="false" outlineLevel="0" collapsed="false">
      <c r="A9" s="4" t="s">
        <v>10</v>
      </c>
      <c r="B9" s="5" t="n">
        <f aca="false">'고1 모의고사'!B9</f>
        <v>63</v>
      </c>
      <c r="C9" s="6" t="n">
        <f aca="false">'고1 모의고사'!H9</f>
        <v>68</v>
      </c>
      <c r="D9" s="6" t="n">
        <f aca="false">'고2 모의고사'!C8</f>
        <v>77</v>
      </c>
      <c r="E9" s="7" t="n">
        <f aca="false">D9-B9</f>
        <v>14</v>
      </c>
    </row>
    <row r="10" customFormat="false" ht="15" hidden="false" customHeight="false" outlineLevel="0" collapsed="false">
      <c r="A10" s="4" t="s">
        <v>11</v>
      </c>
      <c r="B10" s="5" t="n">
        <f aca="false">'고1 모의고사'!B10</f>
        <v>59</v>
      </c>
      <c r="C10" s="6" t="n">
        <f aca="false">'고1 모의고사'!H10</f>
        <v>73</v>
      </c>
      <c r="D10" s="6" t="n">
        <f aca="false">'고2 모의고사'!C9</f>
        <v>76</v>
      </c>
      <c r="E10" s="7" t="n">
        <f aca="false">D10-B10</f>
        <v>17</v>
      </c>
    </row>
    <row r="11" customFormat="false" ht="15" hidden="false" customHeight="false" outlineLevel="0" collapsed="false">
      <c r="A11" s="4" t="s">
        <v>12</v>
      </c>
      <c r="B11" s="5" t="n">
        <f aca="false">'고1 모의고사'!B11</f>
        <v>88</v>
      </c>
      <c r="C11" s="6" t="n">
        <f aca="false">'고1 모의고사'!H11</f>
        <v>91.6666666666667</v>
      </c>
      <c r="D11" s="6" t="n">
        <f aca="false">'고2 모의고사'!C10</f>
        <v>95</v>
      </c>
      <c r="E11" s="7" t="n">
        <f aca="false">D11-B11</f>
        <v>7</v>
      </c>
    </row>
    <row r="12" customFormat="false" ht="15" hidden="false" customHeight="false" outlineLevel="0" collapsed="false">
      <c r="A12" s="4" t="s">
        <v>13</v>
      </c>
      <c r="B12" s="5" t="n">
        <f aca="false">'고1 모의고사'!B12</f>
        <v>67</v>
      </c>
      <c r="C12" s="6" t="n">
        <f aca="false">'고1 모의고사'!H12</f>
        <v>76.3333333333333</v>
      </c>
      <c r="D12" s="6" t="n">
        <f aca="false">'고2 모의고사'!C11</f>
        <v>82</v>
      </c>
      <c r="E12" s="7" t="n">
        <f aca="false">D12-B12</f>
        <v>15</v>
      </c>
    </row>
    <row r="13" customFormat="false" ht="15" hidden="false" customHeight="false" outlineLevel="0" collapsed="false">
      <c r="A13" s="4" t="s">
        <v>14</v>
      </c>
      <c r="B13" s="5" t="n">
        <f aca="false">'고1 모의고사'!B13</f>
        <v>51</v>
      </c>
      <c r="C13" s="6" t="n">
        <f aca="false">'고1 모의고사'!H13</f>
        <v>68.6666666666667</v>
      </c>
      <c r="D13" s="6" t="n">
        <f aca="false">'고2 모의고사'!C12</f>
        <v>80</v>
      </c>
      <c r="E13" s="7" t="n">
        <f aca="false">D13-B13</f>
        <v>29</v>
      </c>
    </row>
    <row r="14" customFormat="false" ht="15" hidden="false" customHeight="false" outlineLevel="0" collapsed="false">
      <c r="A14" s="8" t="s">
        <v>15</v>
      </c>
      <c r="B14" s="9" t="n">
        <f aca="false">'고1 모의고사'!B14</f>
        <v>65.6</v>
      </c>
      <c r="C14" s="9" t="n">
        <f aca="false">'고1 모의고사'!H14</f>
        <v>75.5333333333333</v>
      </c>
      <c r="D14" s="9" t="n">
        <f aca="false">'고2 모의고사'!C13</f>
        <v>82</v>
      </c>
      <c r="E14" s="10" t="n">
        <f aca="false">D14-B14</f>
        <v>16.4</v>
      </c>
    </row>
    <row r="16" customFormat="false" ht="15" hidden="false" customHeight="false" outlineLevel="0" collapsed="false">
      <c r="A16" s="11" t="s">
        <v>16</v>
      </c>
    </row>
  </sheetData>
  <mergeCells count="4">
    <mergeCell ref="A3:I3"/>
    <mergeCell ref="A4:I4"/>
    <mergeCell ref="A5:I5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9" min="2" style="0" width="13"/>
  </cols>
  <sheetData>
    <row r="1" customFormat="false" ht="19.4" hidden="false" customHeight="false" outlineLevel="0" collapsed="false">
      <c r="A1" s="1" t="s">
        <v>17</v>
      </c>
    </row>
    <row r="3" customFormat="false" ht="18" hidden="false" customHeight="true" outlineLevel="0" collapsed="false">
      <c r="A3" s="2" t="s">
        <v>18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19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20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21</v>
      </c>
      <c r="B6" s="2"/>
      <c r="C6" s="2"/>
      <c r="D6" s="2"/>
      <c r="E6" s="2"/>
      <c r="F6" s="2"/>
      <c r="G6" s="2"/>
      <c r="H6" s="2"/>
      <c r="I6" s="2"/>
    </row>
    <row r="8" customFormat="false" ht="33.75" hidden="false" customHeight="true" outlineLevel="0" collapsed="false">
      <c r="A8" s="3" t="s">
        <v>5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26</v>
      </c>
      <c r="G8" s="3" t="s">
        <v>27</v>
      </c>
      <c r="H8" s="3" t="s">
        <v>28</v>
      </c>
      <c r="I8" s="3" t="s">
        <v>29</v>
      </c>
    </row>
    <row r="9" customFormat="false" ht="15" hidden="false" customHeight="false" outlineLevel="0" collapsed="false">
      <c r="A9" s="4" t="s">
        <v>10</v>
      </c>
      <c r="B9" s="12" t="n">
        <v>63</v>
      </c>
      <c r="C9" s="12" t="n">
        <v>66</v>
      </c>
      <c r="D9" s="12" t="n">
        <v>75</v>
      </c>
      <c r="E9" s="13" t="n">
        <f aca="false">B9</f>
        <v>63</v>
      </c>
      <c r="F9" s="13" t="n">
        <f aca="false">LOOKUP(9.99E+307,B9:D9)</f>
        <v>75</v>
      </c>
      <c r="G9" s="14" t="n">
        <f aca="false">F9-E9</f>
        <v>12</v>
      </c>
      <c r="H9" s="15" t="n">
        <f aca="false">AVERAGE(B9:D9)</f>
        <v>68</v>
      </c>
      <c r="I9" s="13" t="n">
        <f aca="false">MAX(B9:D9)</f>
        <v>75</v>
      </c>
    </row>
    <row r="10" customFormat="false" ht="15" hidden="false" customHeight="false" outlineLevel="0" collapsed="false">
      <c r="A10" s="4" t="s">
        <v>11</v>
      </c>
      <c r="B10" s="12" t="n">
        <v>59</v>
      </c>
      <c r="C10" s="12" t="n">
        <v>87</v>
      </c>
      <c r="D10" s="12" t="n">
        <v>73</v>
      </c>
      <c r="E10" s="13" t="n">
        <f aca="false">B10</f>
        <v>59</v>
      </c>
      <c r="F10" s="13" t="n">
        <f aca="false">LOOKUP(9.99E+307,B10:D10)</f>
        <v>73</v>
      </c>
      <c r="G10" s="14" t="n">
        <f aca="false">F10-E10</f>
        <v>14</v>
      </c>
      <c r="H10" s="15" t="n">
        <f aca="false">AVERAGE(B10:D10)</f>
        <v>73</v>
      </c>
      <c r="I10" s="13" t="n">
        <f aca="false">MAX(B10:D10)</f>
        <v>87</v>
      </c>
    </row>
    <row r="11" customFormat="false" ht="15" hidden="false" customHeight="false" outlineLevel="0" collapsed="false">
      <c r="A11" s="4" t="s">
        <v>12</v>
      </c>
      <c r="B11" s="12" t="n">
        <v>88</v>
      </c>
      <c r="C11" s="12" t="n">
        <v>87</v>
      </c>
      <c r="D11" s="12" t="n">
        <v>100</v>
      </c>
      <c r="E11" s="13" t="n">
        <f aca="false">B11</f>
        <v>88</v>
      </c>
      <c r="F11" s="13" t="n">
        <f aca="false">LOOKUP(9.99E+307,B11:D11)</f>
        <v>100</v>
      </c>
      <c r="G11" s="14" t="n">
        <f aca="false">F11-E11</f>
        <v>12</v>
      </c>
      <c r="H11" s="15" t="n">
        <f aca="false">AVERAGE(B11:D11)</f>
        <v>91.6666666666667</v>
      </c>
      <c r="I11" s="13" t="n">
        <f aca="false">MAX(B11:D11)</f>
        <v>100</v>
      </c>
    </row>
    <row r="12" customFormat="false" ht="15" hidden="false" customHeight="false" outlineLevel="0" collapsed="false">
      <c r="A12" s="4" t="s">
        <v>13</v>
      </c>
      <c r="B12" s="12" t="n">
        <v>67</v>
      </c>
      <c r="C12" s="12" t="n">
        <v>88</v>
      </c>
      <c r="D12" s="12" t="n">
        <v>74</v>
      </c>
      <c r="E12" s="13" t="n">
        <f aca="false">B12</f>
        <v>67</v>
      </c>
      <c r="F12" s="13" t="n">
        <f aca="false">LOOKUP(9.99E+307,B12:D12)</f>
        <v>74</v>
      </c>
      <c r="G12" s="14" t="n">
        <f aca="false">F12-E12</f>
        <v>7</v>
      </c>
      <c r="H12" s="15" t="n">
        <f aca="false">AVERAGE(B12:D12)</f>
        <v>76.3333333333333</v>
      </c>
      <c r="I12" s="13" t="n">
        <f aca="false">MAX(B12:D12)</f>
        <v>88</v>
      </c>
    </row>
    <row r="13" customFormat="false" ht="15" hidden="false" customHeight="false" outlineLevel="0" collapsed="false">
      <c r="A13" s="4" t="s">
        <v>14</v>
      </c>
      <c r="B13" s="12" t="n">
        <v>51</v>
      </c>
      <c r="C13" s="12" t="n">
        <v>73</v>
      </c>
      <c r="D13" s="12" t="n">
        <v>82</v>
      </c>
      <c r="E13" s="13" t="n">
        <f aca="false">B13</f>
        <v>51</v>
      </c>
      <c r="F13" s="13" t="n">
        <f aca="false">LOOKUP(9.99E+307,B13:D13)</f>
        <v>82</v>
      </c>
      <c r="G13" s="14" t="n">
        <f aca="false">F13-E13</f>
        <v>31</v>
      </c>
      <c r="H13" s="15" t="n">
        <f aca="false">AVERAGE(B13:D13)</f>
        <v>68.6666666666667</v>
      </c>
      <c r="I13" s="13" t="n">
        <f aca="false">MAX(B13:D13)</f>
        <v>82</v>
      </c>
    </row>
    <row r="14" customFormat="false" ht="15" hidden="false" customHeight="false" outlineLevel="0" collapsed="false">
      <c r="A14" s="8" t="s">
        <v>15</v>
      </c>
      <c r="B14" s="16" t="n">
        <f aca="false">AVERAGE(B9:B13)</f>
        <v>65.6</v>
      </c>
      <c r="C14" s="16" t="n">
        <f aca="false">AVERAGE(C9:C13)</f>
        <v>80.2</v>
      </c>
      <c r="D14" s="16" t="n">
        <f aca="false">AVERAGE(D9:D13)</f>
        <v>80.8</v>
      </c>
      <c r="E14" s="16" t="n">
        <f aca="false">B14</f>
        <v>65.6</v>
      </c>
      <c r="F14" s="16" t="n">
        <f aca="false">D14</f>
        <v>80.8</v>
      </c>
      <c r="G14" s="10" t="n">
        <f aca="false">F14-E14</f>
        <v>15.2</v>
      </c>
      <c r="H14" s="16" t="n">
        <f aca="false">AVERAGE(B9:D13)</f>
        <v>75.5333333333333</v>
      </c>
      <c r="I14" s="16" t="n">
        <f aca="false">MAX(B14:D14)</f>
        <v>80.8</v>
      </c>
    </row>
    <row r="15" customFormat="false" ht="15" hidden="false" customHeight="false" outlineLevel="0" collapsed="false">
      <c r="A15" s="11" t="s">
        <v>30</v>
      </c>
    </row>
  </sheetData>
  <mergeCells count="4">
    <mergeCell ref="A3:I3"/>
    <mergeCell ref="A4:I4"/>
    <mergeCell ref="A5:I5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31</v>
      </c>
    </row>
    <row r="3" customFormat="false" ht="18" hidden="false" customHeight="true" outlineLevel="0" collapsed="false">
      <c r="A3" s="2" t="s">
        <v>32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33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34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5</v>
      </c>
      <c r="B7" s="3" t="s">
        <v>35</v>
      </c>
      <c r="C7" s="3" t="s">
        <v>28</v>
      </c>
    </row>
    <row r="8" customFormat="false" ht="15" hidden="false" customHeight="false" outlineLevel="0" collapsed="false">
      <c r="A8" s="4" t="s">
        <v>10</v>
      </c>
      <c r="B8" s="12" t="n">
        <v>77</v>
      </c>
      <c r="C8" s="15" t="n">
        <f aca="false">AVERAGE(B8:B8)</f>
        <v>77</v>
      </c>
    </row>
    <row r="9" customFormat="false" ht="15" hidden="false" customHeight="false" outlineLevel="0" collapsed="false">
      <c r="A9" s="4" t="s">
        <v>11</v>
      </c>
      <c r="B9" s="12" t="n">
        <v>76</v>
      </c>
      <c r="C9" s="15" t="n">
        <f aca="false">AVERAGE(B9:B9)</f>
        <v>76</v>
      </c>
    </row>
    <row r="10" customFormat="false" ht="15" hidden="false" customHeight="false" outlineLevel="0" collapsed="false">
      <c r="A10" s="4" t="s">
        <v>12</v>
      </c>
      <c r="B10" s="12" t="n">
        <v>95</v>
      </c>
      <c r="C10" s="15" t="n">
        <f aca="false">AVERAGE(B10:B10)</f>
        <v>95</v>
      </c>
    </row>
    <row r="11" customFormat="false" ht="15" hidden="false" customHeight="false" outlineLevel="0" collapsed="false">
      <c r="A11" s="4" t="s">
        <v>13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4" t="s">
        <v>14</v>
      </c>
      <c r="B12" s="12" t="n">
        <v>80</v>
      </c>
      <c r="C12" s="15" t="n">
        <f aca="false">AVERAGE(B12:B12)</f>
        <v>80</v>
      </c>
    </row>
    <row r="13" customFormat="false" ht="15" hidden="false" customHeight="false" outlineLevel="0" collapsed="false">
      <c r="A13" s="8" t="s">
        <v>15</v>
      </c>
      <c r="B13" s="16" t="n">
        <f aca="false">AVERAGE(B8:B12)</f>
        <v>82</v>
      </c>
      <c r="C13" s="16" t="n">
        <f aca="false">AVERAGE(B8:B12)</f>
        <v>82</v>
      </c>
    </row>
    <row r="14" customFormat="false" ht="15" hidden="false" customHeight="false" outlineLevel="0" collapsed="false">
      <c r="A14" s="11" t="s">
        <v>30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2026-10-27T11:27:50Z</dcterms:created>
  <dc:creator>openpyxl</dc:creator>
  <dc:description/>
  <dc:language>en-US</dc:language>
  <cp:lastModifiedBy/>
  <dcterms:modified xsi:type="dcterms:W3CDTF">2026-10-27T11:27:52Z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