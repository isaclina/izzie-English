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점 성장 요약" sheetId="1" state="visible" r:id="rId3"/>
    <sheet name="고1 모의고사" sheetId="2" state="visible" r:id="rId4"/>
    <sheet name="고2 모의고사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<sst xmlns="http://schemas.openxmlformats.org/spreadsheetml/2006/main" count="59" uniqueCount="41">
  <si>
    <r>
      <rPr>
        <b val="true"/>
        <sz val="14"/>
        <rFont val="WenQuanYi Zen Hei"/>
        <family val="2"/>
      </rPr>
      <t xml:space="preserve">이서연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총점 성장</t>
    </r>
  </si>
  <si>
    <r>
      <rPr>
        <sz val="11"/>
        <rFont val="WenQuanYi Zen Hei"/>
        <family val="2"/>
      </rPr>
      <t xml:space="preserve">■ 시험이 고</t>
    </r>
    <r>
      <rPr>
        <sz val="11"/>
        <rFont val="Arial"/>
        <family val="0"/>
        <charset val="1"/>
      </rPr>
      <t xml:space="preserve">1 →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순서로 어려워지는데도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그룹별 반 평균 총점은 고</t>
    </r>
    <r>
      <rPr>
        <sz val="11"/>
        <rFont val="Arial"/>
        <family val="0"/>
        <charset val="1"/>
      </rPr>
      <t xml:space="preserve">1 75.3</t>
    </r>
    <r>
      <rPr>
        <sz val="11"/>
        <rFont val="WenQuanYi Zen Hei"/>
        <family val="2"/>
      </rPr>
      <t xml:space="preserve">점 → 고</t>
    </r>
    <r>
      <rPr>
        <sz val="11"/>
        <rFont val="Arial"/>
        <family val="0"/>
        <charset val="1"/>
      </rPr>
      <t xml:space="preserve">2 81.2</t>
    </r>
    <r>
      <rPr>
        <sz val="11"/>
        <rFont val="WenQuanYi Zen Hei"/>
        <family val="2"/>
      </rPr>
      <t xml:space="preserve">점으로 계속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</si>
  <si>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첫 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 반 평균은 </t>
    </r>
    <r>
      <rPr>
        <sz val="11"/>
        <rFont val="Arial"/>
        <family val="0"/>
        <charset val="1"/>
      </rPr>
      <t xml:space="preserve">65.0</t>
    </r>
    <r>
      <rPr>
        <sz val="11"/>
        <rFont val="WenQuanYi Zen Hei"/>
        <family val="2"/>
      </rPr>
      <t xml:space="preserve">점이었습니다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마지막 그룹 평균은 그보다 </t>
    </r>
    <r>
      <rPr>
        <sz val="11"/>
        <rFont val="Arial"/>
        <family val="0"/>
        <charset val="1"/>
      </rPr>
      <t xml:space="preserve">+16.2</t>
    </r>
    <r>
      <rPr>
        <sz val="11"/>
        <rFont val="WenQuanYi Zen Hei"/>
        <family val="2"/>
      </rPr>
      <t xml:space="preserve">점 높습니다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</si>
  <si>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학생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명 중 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김지수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이서연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황재성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서예준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이시원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그룹이 올라갈 때마다 평균 점수도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</si>
  <si>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나머지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김채율</t>
    </r>
    <r>
      <rPr>
        <sz val="11"/>
        <rFont val="Arial"/>
        <family val="0"/>
        <charset val="1"/>
      </rPr>
      <t xml:space="preserve">(76.5 → 76.0) — </t>
    </r>
    <r>
      <rPr>
        <sz val="11"/>
        <rFont val="WenQuanYi Zen Hei"/>
        <family val="2"/>
      </rPr>
      <t xml:space="preserve">그룹 안에서 시험마다 점수 차이가 큰 학생입니다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</si>
  <si>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그룹 평균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그 수준 시험을 본 모든 회차 점수의 평균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각 그룹 시트에 시험별 점수와 첫 시험 → 마지막 시험 변화가 있습니다</t>
    </r>
    <r>
      <rPr>
        <sz val="11"/>
        <rFont val="Arial"/>
        <family val="0"/>
        <charset val="1"/>
      </rPr>
      <t xml:space="preserve">.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</si>
  <si>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</si>
  <si>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첫 시험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</si>
  <si>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
평균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</si>
  <si>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
평균</t>
    </r>
  </si>
  <si>
    <t xml:space="preserve">첫 시험 →
마지막 그룹 평균</t>
  </si>
  <si>
    <t xml:space="preserve">김지수</t>
  </si>
  <si>
    <t xml:space="preserve">김채율</t>
  </si>
  <si>
    <t xml:space="preserve">이서연</t>
  </si>
  <si>
    <t xml:space="preserve">황재성</t>
  </si>
  <si>
    <t xml:space="preserve">서예준</t>
  </si>
  <si>
    <t xml:space="preserve">이시원</t>
  </si>
  <si>
    <t xml:space="preserve">반 평균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</si>
  <si>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초록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다른 시트 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</si>
  <si>
    <r>
      <rPr>
        <b val="true"/>
        <sz val="14"/>
        <rFont val="WenQuanYi Zen Hei"/>
        <family val="2"/>
      </rPr>
      <t xml:space="preserve">이서연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</si>
  <si>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(2026)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(2026)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</si>
  <si>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65.0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79.2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(+14.2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</si>
  <si>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5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</si>
  <si>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서예준 </t>
    </r>
    <r>
      <rPr>
        <sz val="11"/>
        <rFont val="Arial"/>
        <family val="0"/>
        <charset val="1"/>
      </rPr>
      <t xml:space="preserve">51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82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(+31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</si>
  <si>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</si>
  <si>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</si>
  <si>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</si>
  <si>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</si>
  <si>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(2026)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</si>
  <si>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(2026)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</si>
  <si>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t xml:space="preserve">첫 시험</t>
  </si>
  <si>
    <t xml:space="preserve">마지막 시험</t>
  </si>
  <si>
    <t xml:space="preserve">변화</t>
  </si>
  <si>
    <t xml:space="preserve">평균</t>
  </si>
  <si>
    <t xml:space="preserve">최고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</si>
  <si>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절대평가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</si>
  <si>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이서연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</si>
  <si>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(2026)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</si>
  <si>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■ 반 평균 총점 </t>
    </r>
    <r>
      <rPr>
        <sz val="11"/>
        <rFont val="Arial"/>
        <family val="0"/>
        <charset val="1"/>
      </rPr>
      <t xml:space="preserve">81.2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: 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</si>
  <si>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모의고사는 아직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2 3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뿐입니다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이서연 반은 현재 중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라 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모의고사는 아직 보지 않았습니다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</si>
  <si>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(2026)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</si>
</sst>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\+0.0;\-0.0;0.0"/>
    <numFmt numFmtId="168" formatCode="General"/>
    <numFmt numFmtId="169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E7A72"/>
      <rgbColor rgb="FFBFBFBF"/>
      <rgbColor rgb="FF878787"/>
      <rgbColor rgb="FFA6B8B4"/>
      <rgbColor rgb="FFAA433F"/>
      <rgbColor rgb="FFFFF2CC"/>
      <rgbColor rgb="FFCCFFFF"/>
      <rgbColor rgb="FF660066"/>
      <rgbColor rgb="FFDB8238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3D97AF"/>
      <rgbColor rgb="FF0000FF"/>
      <rgbColor rgb="FF00CCFF"/>
      <rgbColor rgb="FFCCFFFF"/>
      <rgbColor rgb="FFDDE7E4"/>
      <rgbColor rgb="FFFFFF99"/>
      <rgbColor rgb="FF8FBFB8"/>
      <rgbColor rgb="FFFF99CC"/>
      <rgbColor rgb="FFCC99FF"/>
      <rgbColor rgb="FFD9D9D9"/>
      <rgbColor rgb="FF426FA6"/>
      <rgbColor rgb="FF33CCCC"/>
      <rgbColor rgb="FF99CC00"/>
      <rgbColor rgb="FFFFCC00"/>
      <rgbColor rgb="FFFF9900"/>
      <rgbColor rgb="FFFF6600"/>
      <rgbColor rgb="FF6F568D"/>
      <rgbColor rgb="FF87A44B"/>
      <rgbColor rgb="FF003366"/>
      <rgbColor rgb="FF3E9A9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시험 수준별 반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요약'!$B$9:$D$9</c:f>
              <c:strCache>
                <c:ptCount val="3"/>
                <c:pt idx="0">
                  <c:v>중1 첫 시험</c:v>
                </c:pt>
                <c:pt idx="1">
                  <c:v>고1 모의고사
평균</c:v>
                </c:pt>
                <c:pt idx="2">
                  <c:v>고2 모의고사
평균</c:v>
                </c:pt>
              </c:strCache>
            </c:strRef>
          </c:cat>
          <c:val>
            <c:numRef>
              <c:f>'총점 성장 요약'!$B$16:$D$16</c:f>
              <c:numCache>
                <c:formatCode>0.0</c:formatCode>
                <c:ptCount val="3"/>
                <c:pt idx="0">
                  <c:v>65</c:v>
                </c:pt>
                <c:pt idx="1">
                  <c:v>75.25</c:v>
                </c:pt>
                <c:pt idx="2">
                  <c:v>81.1666666666667</c:v>
                </c:pt>
              </c:numCache>
            </c:numRef>
          </c:val>
        </c:ser>
        <c:gapWidth val="150"/>
        <c:overlap val="0"/>
        <c:axId val="63610513"/>
        <c:axId val="58910724"/>
      </c:barChart>
      <c:catAx>
        <c:axId val="63610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10724"/>
        <c:crosses val="autoZero"/>
        <c:auto val="1"/>
        <c:lblAlgn val="ctr"/>
        <c:lblOffset val="100"/>
        <c:noMultiLvlLbl val="0"/>
      </c:catAx>
      <c:valAx>
        <c:axId val="5891072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10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학생별 시험 수준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'총점 성장 요약'!B9</c:f>
              <c:strCache>
                <c:ptCount val="1"/>
                <c:pt idx="0">
                  <c:v>중1 첫 시험</c:v>
                </c:pt>
              </c:strCache>
            </c:strRef>
          </c:tx>
          <c:spPr>
            <a:solidFill>
              <a:srgbClr val="c9d6d2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요약'!$A$10:$A$15</c:f>
              <c:strCache>
                <c:ptCount val="6"/>
                <c:pt idx="0">
                  <c:v>김지수</c:v>
                </c:pt>
                <c:pt idx="1">
                  <c:v>김채율</c:v>
                </c:pt>
                <c:pt idx="2">
                  <c:v>이서연</c:v>
                </c:pt>
                <c:pt idx="3">
                  <c:v>황재성</c:v>
                </c:pt>
                <c:pt idx="4">
                  <c:v>서예준</c:v>
                </c:pt>
                <c:pt idx="5">
                  <c:v>이시원</c:v>
                </c:pt>
              </c:strCache>
            </c:strRef>
          </c:cat>
          <c:val>
            <c:numRef>
              <c:f>'총점 성장 요약'!$B$10:$B$15</c:f>
              <c:numCache>
                <c:formatCode>0</c:formatCode>
                <c:ptCount val="6"/>
                <c:pt idx="0">
                  <c:v>63</c:v>
                </c:pt>
                <c:pt idx="1">
                  <c:v>59</c:v>
                </c:pt>
                <c:pt idx="2">
                  <c:v>88</c:v>
                </c:pt>
                <c:pt idx="3">
                  <c:v>67</c:v>
                </c:pt>
                <c:pt idx="4">
                  <c:v>51</c:v>
                </c:pt>
                <c:pt idx="5">
                  <c:v>62</c:v>
                </c:pt>
              </c:numCache>
            </c:numRef>
          </c:val>
        </c:ser>
        <c:ser>
          <c:idx val="1"/>
          <c:order val="1"/>
          <c:tx>
            <c:strRef>
              <c:f>'총점 성장 요약'!C9</c:f>
              <c:strCache>
                <c:ptCount val="1"/>
                <c:pt idx="0">
                  <c:v>고1 모의고사
평균</c:v>
                </c:pt>
              </c:strCache>
            </c:strRef>
          </c:tx>
          <c:spPr>
            <a:solidFill>
              <a:srgbClr val="8fbfb8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요약'!$A$10:$A$15</c:f>
              <c:strCache>
                <c:ptCount val="6"/>
                <c:pt idx="0">
                  <c:v>김지수</c:v>
                </c:pt>
                <c:pt idx="1">
                  <c:v>김채율</c:v>
                </c:pt>
                <c:pt idx="2">
                  <c:v>이서연</c:v>
                </c:pt>
                <c:pt idx="3">
                  <c:v>황재성</c:v>
                </c:pt>
                <c:pt idx="4">
                  <c:v>서예준</c:v>
                </c:pt>
                <c:pt idx="5">
                  <c:v>이시원</c:v>
                </c:pt>
              </c:strCache>
            </c:strRef>
          </c:cat>
          <c:val>
            <c:numRef>
              <c:f>'총점 성장 요약'!$C$10:$C$15</c:f>
              <c:numCache>
                <c:formatCode>0.0</c:formatCode>
                <c:ptCount val="6"/>
                <c:pt idx="0">
                  <c:v>66.6666666666667</c:v>
                </c:pt>
                <c:pt idx="1">
                  <c:v>76.5</c:v>
                </c:pt>
                <c:pt idx="2">
                  <c:v>92.3333333333333</c:v>
                </c:pt>
                <c:pt idx="3">
                  <c:v>77.5</c:v>
                </c:pt>
                <c:pt idx="4">
                  <c:v>69.5</c:v>
                </c:pt>
                <c:pt idx="5">
                  <c:v>69</c:v>
                </c:pt>
              </c:numCache>
            </c:numRef>
          </c:val>
        </c:ser>
        <c:ser>
          <c:idx val="2"/>
          <c:order val="2"/>
          <c:tx>
            <c:strRef>
              <c:f>'총점 성장 요약'!D9</c:f>
              <c:strCache>
                <c:ptCount val="1"/>
                <c:pt idx="0">
                  <c:v>고2 모의고사
평균</c:v>
                </c:pt>
              </c:strCache>
            </c:strRef>
          </c:tx>
          <c:spPr>
            <a:solidFill>
              <a:srgbClr val="3e9a9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요약'!$A$10:$A$15</c:f>
              <c:strCache>
                <c:ptCount val="6"/>
                <c:pt idx="0">
                  <c:v>김지수</c:v>
                </c:pt>
                <c:pt idx="1">
                  <c:v>김채율</c:v>
                </c:pt>
                <c:pt idx="2">
                  <c:v>이서연</c:v>
                </c:pt>
                <c:pt idx="3">
                  <c:v>황재성</c:v>
                </c:pt>
                <c:pt idx="4">
                  <c:v>서예준</c:v>
                </c:pt>
                <c:pt idx="5">
                  <c:v>이시원</c:v>
                </c:pt>
              </c:strCache>
            </c:strRef>
          </c:cat>
          <c:val>
            <c:numRef>
              <c:f>'총점 성장 요약'!$D$10:$D$15</c:f>
              <c:numCache>
                <c:formatCode>0.0</c:formatCode>
                <c:ptCount val="6"/>
                <c:pt idx="0">
                  <c:v>77</c:v>
                </c:pt>
                <c:pt idx="1">
                  <c:v>76</c:v>
                </c:pt>
                <c:pt idx="2">
                  <c:v>95</c:v>
                </c:pt>
                <c:pt idx="3">
                  <c:v>82</c:v>
                </c:pt>
                <c:pt idx="4">
                  <c:v>80</c:v>
                </c:pt>
                <c:pt idx="5">
                  <c:v>77</c:v>
                </c:pt>
              </c:numCache>
            </c:numRef>
          </c:val>
        </c:ser>
        <c:gapWidth val="150"/>
        <c:overlap val="0"/>
        <c:axId val="44798319"/>
        <c:axId val="75800362"/>
      </c:barChart>
      <c:catAx>
        <c:axId val="447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00362"/>
        <c:crosses val="autoZero"/>
        <c:auto val="1"/>
        <c:lblAlgn val="ctr"/>
        <c:lblOffset val="100"/>
        <c:noMultiLvlLbl val="0"/>
      </c:catAx>
      <c:valAx>
        <c:axId val="75800362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983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모의고사'!A9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26fa6"/>
            </a:solidFill>
            <a:ln w="19080">
              <a:solidFill>
                <a:srgbClr val="426fa6"/>
              </a:solidFill>
              <a:round/>
            </a:ln>
          </c:spPr>
          <c:marker>
            <c:symbol val="circle"/>
            <c:size val="6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모의고사'!$B$9:$G$9</c:f>
              <c:numCache>
                <c:formatCode>General</c:formatCode>
                <c:ptCount val="6"/>
                <c:pt idx="0">
                  <c:v>63</c:v>
                </c:pt>
                <c:pt idx="1">
                  <c:v>67</c:v>
                </c:pt>
                <c:pt idx="2">
                  <c:v>68</c:v>
                </c:pt>
                <c:pt idx="3">
                  <c:v>61</c:v>
                </c:pt>
                <c:pt idx="4">
                  <c:v>66</c:v>
                </c:pt>
                <c:pt idx="5">
                  <c:v>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모의고사'!A10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aa433f"/>
            </a:solidFill>
            <a:ln w="19080">
              <a:solidFill>
                <a:srgbClr val="aa433f"/>
              </a:solidFill>
              <a:round/>
            </a:ln>
          </c:spPr>
          <c:marker>
            <c:symbol val="circle"/>
            <c:size val="6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모의고사'!$B$10:$G$10</c:f>
              <c:numCache>
                <c:formatCode>General</c:formatCode>
                <c:ptCount val="6"/>
                <c:pt idx="0">
                  <c:v>59</c:v>
                </c:pt>
                <c:pt idx="1">
                  <c:v>86</c:v>
                </c:pt>
                <c:pt idx="2">
                  <c:v>76</c:v>
                </c:pt>
                <c:pt idx="3">
                  <c:v>78</c:v>
                </c:pt>
                <c:pt idx="4">
                  <c:v>87</c:v>
                </c:pt>
                <c:pt idx="5">
                  <c:v>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모의고사'!A11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87a44b"/>
            </a:solidFill>
            <a:ln w="19080">
              <a:solidFill>
                <a:srgbClr val="87a44b"/>
              </a:solidFill>
              <a:round/>
            </a:ln>
          </c:spPr>
          <c:marker>
            <c:symbol val="circle"/>
            <c:size val="6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모의고사'!$B$11:$G$11</c:f>
              <c:numCache>
                <c:formatCode>General</c:formatCode>
                <c:ptCount val="6"/>
                <c:pt idx="0">
                  <c:v>88</c:v>
                </c:pt>
                <c:pt idx="1">
                  <c:v>94</c:v>
                </c:pt>
                <c:pt idx="2">
                  <c:v>91</c:v>
                </c:pt>
                <c:pt idx="3">
                  <c:v>94</c:v>
                </c:pt>
                <c:pt idx="4">
                  <c:v>87</c:v>
                </c:pt>
                <c:pt idx="5">
                  <c:v>100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모의고사'!A12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6f568d"/>
            </a:solidFill>
            <a:ln w="19080">
              <a:solidFill>
                <a:srgbClr val="6f568d"/>
              </a:solidFill>
              <a:round/>
            </a:ln>
          </c:spPr>
          <c:marker>
            <c:symbol val="circle"/>
            <c:size val="6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모의고사'!$B$12:$G$12</c:f>
              <c:numCache>
                <c:formatCode>General</c:formatCode>
                <c:ptCount val="6"/>
                <c:pt idx="0">
                  <c:v>67</c:v>
                </c:pt>
                <c:pt idx="1">
                  <c:v>74</c:v>
                </c:pt>
                <c:pt idx="2">
                  <c:v>71</c:v>
                </c:pt>
                <c:pt idx="3">
                  <c:v>91</c:v>
                </c:pt>
                <c:pt idx="4">
                  <c:v>88</c:v>
                </c:pt>
                <c:pt idx="5">
                  <c:v>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모의고사'!A13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3d97af"/>
            </a:solidFill>
            <a:ln w="19080">
              <a:solidFill>
                <a:srgbClr val="3d97af"/>
              </a:solidFill>
              <a:round/>
            </a:ln>
          </c:spPr>
          <c:marker>
            <c:symbol val="circle"/>
            <c:size val="6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모의고사'!$B$13:$G$13</c:f>
              <c:numCache>
                <c:formatCode>General</c:formatCode>
                <c:ptCount val="6"/>
                <c:pt idx="0">
                  <c:v>51</c:v>
                </c:pt>
                <c:pt idx="1">
                  <c:v>57</c:v>
                </c:pt>
                <c:pt idx="2">
                  <c:v>68</c:v>
                </c:pt>
                <c:pt idx="3">
                  <c:v>86</c:v>
                </c:pt>
                <c:pt idx="4">
                  <c:v>73</c:v>
                </c:pt>
                <c:pt idx="5">
                  <c:v>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'고1 모의고사'!A14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db8238"/>
            </a:solidFill>
            <a:ln w="19080">
              <a:solidFill>
                <a:srgbClr val="db8238"/>
              </a:solidFill>
              <a:round/>
            </a:ln>
          </c:spPr>
          <c:marker>
            <c:symbol val="circle"/>
            <c:size val="6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모의고사'!$B$14:$G$14</c:f>
              <c:numCache>
                <c:formatCode>General</c:formatCode>
                <c:ptCount val="6"/>
                <c:pt idx="0">
                  <c:v>62</c:v>
                </c:pt>
                <c:pt idx="1">
                  <c:v>61</c:v>
                </c:pt>
                <c:pt idx="2">
                  <c:v>69</c:v>
                </c:pt>
                <c:pt idx="3">
                  <c:v>78</c:v>
                </c:pt>
                <c:pt idx="4">
                  <c:v>73</c:v>
                </c:pt>
                <c:pt idx="5">
                  <c:v>71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'고1 모의고사'!A15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모의고사'!$B$8:$G$8</c:f>
              <c:strCache>
                <c:ptCount val="6"/>
                <c:pt idx="0">
                  <c:v>중1 1차 (2025)
고1</c:v>
                </c:pt>
                <c:pt idx="1">
                  <c:v>중1 2차 (2025)
고1</c:v>
                </c:pt>
                <c:pt idx="2">
                  <c:v>중1 3차 (2025)
고1</c:v>
                </c:pt>
                <c:pt idx="3">
                  <c:v>중1 4차 (2025)
고1</c:v>
                </c:pt>
                <c:pt idx="4">
                  <c:v>중2 1차 (2026)
고1</c:v>
                </c:pt>
                <c:pt idx="5">
                  <c:v>중2 2차 (2026)
고1</c:v>
                </c:pt>
              </c:strCache>
            </c:strRef>
          </c:cat>
          <c:val>
            <c:numRef>
              <c:f>'고1 모의고사'!$B$15:$G$15</c:f>
              <c:numCache>
                <c:formatCode>0.0</c:formatCode>
                <c:ptCount val="6"/>
                <c:pt idx="0">
                  <c:v>65</c:v>
                </c:pt>
                <c:pt idx="1">
                  <c:v>73.1666666666667</c:v>
                </c:pt>
                <c:pt idx="2">
                  <c:v>73.8333333333333</c:v>
                </c:pt>
                <c:pt idx="3">
                  <c:v>81.3333333333333</c:v>
                </c:pt>
                <c:pt idx="4">
                  <c:v>79</c:v>
                </c:pt>
                <c:pt idx="5">
                  <c:v>79.1666666666667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38909"/>
        <c:axId val="45348399"/>
      </c:lineChart>
      <c:catAx>
        <c:axId val="8038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48399"/>
        <c:crosses val="autoZero"/>
        <c:auto val="1"/>
        <c:lblAlgn val="ctr"/>
        <c:lblOffset val="100"/>
        <c:noMultiLvlLbl val="0"/>
      </c:catAx>
      <c:valAx>
        <c:axId val="45348399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8909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'고1 모의고사'!H8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모의고사'!$A$9:$A$15</c:f>
              <c:strCache>
                <c:ptCount val="7"/>
                <c:pt idx="0">
                  <c:v>김지수</c:v>
                </c:pt>
                <c:pt idx="1">
                  <c:v>김채율</c:v>
                </c:pt>
                <c:pt idx="2">
                  <c:v>이서연</c:v>
                </c:pt>
                <c:pt idx="3">
                  <c:v>황재성</c:v>
                </c:pt>
                <c:pt idx="4">
                  <c:v>서예준</c:v>
                </c:pt>
                <c:pt idx="5">
                  <c:v>이시원</c:v>
                </c:pt>
                <c:pt idx="6">
                  <c:v>반 평균</c:v>
                </c:pt>
              </c:strCache>
            </c:strRef>
          </c:cat>
          <c:val>
            <c:numRef>
              <c:f>'고1 모의고사'!$H$9:$H$15</c:f>
              <c:numCache>
                <c:formatCode>General</c:formatCode>
                <c:ptCount val="7"/>
                <c:pt idx="0">
                  <c:v>63</c:v>
                </c:pt>
                <c:pt idx="1">
                  <c:v>59</c:v>
                </c:pt>
                <c:pt idx="2">
                  <c:v>88</c:v>
                </c:pt>
                <c:pt idx="3">
                  <c:v>67</c:v>
                </c:pt>
                <c:pt idx="4">
                  <c:v>51</c:v>
                </c:pt>
                <c:pt idx="5">
                  <c:v>62</c:v>
                </c:pt>
                <c:pt idx="6">
                  <c:v>65</c:v>
                </c:pt>
              </c:numCache>
            </c:numRef>
          </c:val>
        </c:ser>
        <c:ser>
          <c:idx val="1"/>
          <c:order val="1"/>
          <c:tx>
            <c:strRef>
              <c:f>'고1 모의고사'!I8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모의고사'!$A$9:$A$15</c:f>
              <c:strCache>
                <c:ptCount val="7"/>
                <c:pt idx="0">
                  <c:v>김지수</c:v>
                </c:pt>
                <c:pt idx="1">
                  <c:v>김채율</c:v>
                </c:pt>
                <c:pt idx="2">
                  <c:v>이서연</c:v>
                </c:pt>
                <c:pt idx="3">
                  <c:v>황재성</c:v>
                </c:pt>
                <c:pt idx="4">
                  <c:v>서예준</c:v>
                </c:pt>
                <c:pt idx="5">
                  <c:v>이시원</c:v>
                </c:pt>
                <c:pt idx="6">
                  <c:v>반 평균</c:v>
                </c:pt>
              </c:strCache>
            </c:strRef>
          </c:cat>
          <c:val>
            <c:numRef>
              <c:f>'고1 모의고사'!$I$9:$I$15</c:f>
              <c:numCache>
                <c:formatCode>General</c:formatCode>
                <c:ptCount val="7"/>
                <c:pt idx="0">
                  <c:v>75</c:v>
                </c:pt>
                <c:pt idx="1">
                  <c:v>73</c:v>
                </c:pt>
                <c:pt idx="2">
                  <c:v>100</c:v>
                </c:pt>
                <c:pt idx="3">
                  <c:v>74</c:v>
                </c:pt>
                <c:pt idx="4">
                  <c:v>82</c:v>
                </c:pt>
                <c:pt idx="5">
                  <c:v>71</c:v>
                </c:pt>
                <c:pt idx="6">
                  <c:v>79.1666666666667</c:v>
                </c:pt>
              </c:numCache>
            </c:numRef>
          </c:val>
        </c:ser>
        <c:gapWidth val="150"/>
        <c:overlap val="0"/>
        <c:axId val="46264756"/>
        <c:axId val="22245575"/>
      </c:barChart>
      <c:catAx>
        <c:axId val="46264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45575"/>
        <c:crosses val="autoZero"/>
        <c:auto val="1"/>
        <c:lblAlgn val="ctr"/>
        <c:lblOffset val="100"/>
        <c:noMultiLvlLbl val="0"/>
      </c:catAx>
      <c:valAx>
        <c:axId val="2224557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64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모의고사'!A8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26fa6"/>
            </a:solidFill>
            <a:ln w="19080">
              <a:solidFill>
                <a:srgbClr val="426fa6"/>
              </a:solidFill>
              <a:round/>
            </a:ln>
          </c:spPr>
          <c:marker>
            <c:symbol val="circle"/>
            <c:size val="6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모의고사'!$B$8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모의고사'!A9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aa433f"/>
            </a:solidFill>
            <a:ln w="19080">
              <a:solidFill>
                <a:srgbClr val="aa433f"/>
              </a:solidFill>
              <a:round/>
            </a:ln>
          </c:spPr>
          <c:marker>
            <c:symbol val="circle"/>
            <c:size val="6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모의고사'!$B$9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모의고사'!A10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87a44b"/>
            </a:solidFill>
            <a:ln w="19080">
              <a:solidFill>
                <a:srgbClr val="87a44b"/>
              </a:solidFill>
              <a:round/>
            </a:ln>
          </c:spPr>
          <c:marker>
            <c:symbol val="circle"/>
            <c:size val="6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모의고사'!$B$10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모의고사'!A11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6f568d"/>
            </a:solidFill>
            <a:ln w="19080">
              <a:solidFill>
                <a:srgbClr val="6f568d"/>
              </a:solidFill>
              <a:round/>
            </a:ln>
          </c:spPr>
          <c:marker>
            <c:symbol val="circle"/>
            <c:size val="6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모의고사'!$B$11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모의고사'!A12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3d97af"/>
            </a:solidFill>
            <a:ln w="19080">
              <a:solidFill>
                <a:srgbClr val="3d97af"/>
              </a:solidFill>
              <a:round/>
            </a:ln>
          </c:spPr>
          <c:marker>
            <c:symbol val="circle"/>
            <c:size val="6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모의고사'!$B$12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'고2 모의고사'!A13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db8238"/>
            </a:solidFill>
            <a:ln w="19080">
              <a:solidFill>
                <a:srgbClr val="db8238"/>
              </a:solidFill>
              <a:round/>
            </a:ln>
          </c:spPr>
          <c:marker>
            <c:symbol val="circle"/>
            <c:size val="6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모의고사'!$B$13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'고2 모의고사'!A14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모의고사'!$B$7</c:f>
              <c:strCache>
                <c:ptCount val="1"/>
                <c:pt idx="0">
                  <c:v>중2 3차 (2026)
고2</c:v>
                </c:pt>
              </c:strCache>
            </c:strRef>
          </c:cat>
          <c:val>
            <c:numRef>
              <c:f>'고2 모의고사'!$B$14</c:f>
              <c:numCache>
                <c:formatCode>0.0</c:formatCode>
                <c:ptCount val="1"/>
                <c:pt idx="0">
                  <c:v>81.1666666666667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621447"/>
        <c:axId val="52896463"/>
      </c:lineChart>
      <c:catAx>
        <c:axId val="15621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96463"/>
        <c:crosses val="autoZero"/>
        <c:auto val="1"/>
        <c:lblAlgn val="ctr"/>
        <c:lblOffset val="100"/>
        <c:noMultiLvlLbl val="0"/>
      </c:catAx>
      <c:valAx>
        <c:axId val="52896463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21447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134640</xdr:rowOff>
    </xdr:from>
    <xdr:to>
      <xdr:col>4</xdr:col>
      <xdr:colOff>1022040</xdr:colOff>
      <xdr:row>34</xdr:row>
      <xdr:rowOff>135720</xdr:rowOff>
    </xdr:to>
    <xdr:graphicFrame>
      <xdr:nvGraphicFramePr>
        <xdr:cNvPr id="0" name="Chart 1"/>
        <xdr:cNvGraphicFramePr/>
      </xdr:nvGraphicFramePr>
      <xdr:xfrm>
        <a:off x="0" y="38577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134640</xdr:rowOff>
    </xdr:from>
    <xdr:to>
      <xdr:col>5</xdr:col>
      <xdr:colOff>1193400</xdr:colOff>
      <xdr:row>54</xdr:row>
      <xdr:rowOff>135720</xdr:rowOff>
    </xdr:to>
    <xdr:graphicFrame>
      <xdr:nvGraphicFramePr>
        <xdr:cNvPr id="1" name="Chart 2"/>
        <xdr:cNvGraphicFramePr/>
      </xdr:nvGraphicFramePr>
      <xdr:xfrm>
        <a:off x="0" y="76676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134640</xdr:rowOff>
    </xdr:from>
    <xdr:to>
      <xdr:col>6</xdr:col>
      <xdr:colOff>332280</xdr:colOff>
      <xdr:row>33</xdr:row>
      <xdr:rowOff>135720</xdr:rowOff>
    </xdr:to>
    <xdr:graphicFrame>
      <xdr:nvGraphicFramePr>
        <xdr:cNvPr id="2" name="Chart 1"/>
        <xdr:cNvGraphicFramePr/>
      </xdr:nvGraphicFramePr>
      <xdr:xfrm>
        <a:off x="0" y="3857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134640</xdr:rowOff>
    </xdr:from>
    <xdr:to>
      <xdr:col>6</xdr:col>
      <xdr:colOff>332280</xdr:colOff>
      <xdr:row>53</xdr:row>
      <xdr:rowOff>135720</xdr:rowOff>
    </xdr:to>
    <xdr:graphicFrame>
      <xdr:nvGraphicFramePr>
        <xdr:cNvPr id="3" name="Chart 2"/>
        <xdr:cNvGraphicFramePr/>
      </xdr:nvGraphicFramePr>
      <xdr:xfrm>
        <a:off x="0" y="7667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6</xdr:col>
      <xdr:colOff>332280</xdr:colOff>
      <xdr:row>32</xdr:row>
      <xdr:rowOff>135720</xdr:rowOff>
    </xdr:to>
    <xdr:graphicFrame>
      <xdr:nvGraphicFramePr>
        <xdr:cNvPr id="4" name="Chart 1"/>
        <xdr:cNvGraphicFramePr/>
      </xdr:nvGraphicFramePr>
      <xdr:xfrm>
        <a:off x="0" y="340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0"/>
  </cols>
  <sheetData>
    <row r="1" customFormat="false" ht="19.4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</row>
    <row r="5" customFormat="false" ht="18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</row>
    <row r="6" customFormat="false" ht="18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</row>
    <row r="7" customFormat="false" ht="18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</row>
    <row r="9" customFormat="false" ht="33.75" hidden="false" customHeight="true" outlineLevel="0" collapsed="false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</row>
    <row r="10" customFormat="false" ht="15" hidden="false" customHeight="false" outlineLevel="0" collapsed="false">
      <c r="A10" s="4" t="s">
        <v>11</v>
      </c>
      <c r="B10" s="5" t="n">
        <f aca="false">'고1 모의고사'!B9</f>
        <v>63</v>
      </c>
      <c r="C10" s="6" t="n">
        <f aca="false">'고1 모의고사'!K9</f>
        <v>66.6666666666667</v>
      </c>
      <c r="D10" s="6" t="n">
        <f aca="false">'고2 모의고사'!C8</f>
        <v>77</v>
      </c>
      <c r="E10" s="7" t="n">
        <f aca="false">D10-B10</f>
        <v>14</v>
      </c>
    </row>
    <row r="11" customFormat="false" ht="15" hidden="false" customHeight="false" outlineLevel="0" collapsed="false">
      <c r="A11" s="4" t="s">
        <v>12</v>
      </c>
      <c r="B11" s="5" t="n">
        <f aca="false">'고1 모의고사'!B10</f>
        <v>59</v>
      </c>
      <c r="C11" s="6" t="n">
        <f aca="false">'고1 모의고사'!K10</f>
        <v>76.5</v>
      </c>
      <c r="D11" s="6" t="n">
        <f aca="false">'고2 모의고사'!C9</f>
        <v>76</v>
      </c>
      <c r="E11" s="7" t="n">
        <f aca="false">D11-B11</f>
        <v>17</v>
      </c>
    </row>
    <row r="12" customFormat="false" ht="15" hidden="false" customHeight="false" outlineLevel="0" collapsed="false">
      <c r="A12" s="4" t="s">
        <v>13</v>
      </c>
      <c r="B12" s="5" t="n">
        <f aca="false">'고1 모의고사'!B11</f>
        <v>88</v>
      </c>
      <c r="C12" s="6" t="n">
        <f aca="false">'고1 모의고사'!K11</f>
        <v>92.3333333333333</v>
      </c>
      <c r="D12" s="6" t="n">
        <f aca="false">'고2 모의고사'!C10</f>
        <v>95</v>
      </c>
      <c r="E12" s="7" t="n">
        <f aca="false">D12-B12</f>
        <v>7</v>
      </c>
    </row>
    <row r="13" customFormat="false" ht="15" hidden="false" customHeight="false" outlineLevel="0" collapsed="false">
      <c r="A13" s="4" t="s">
        <v>14</v>
      </c>
      <c r="B13" s="5" t="n">
        <f aca="false">'고1 모의고사'!B12</f>
        <v>67</v>
      </c>
      <c r="C13" s="6" t="n">
        <f aca="false">'고1 모의고사'!K12</f>
        <v>77.5</v>
      </c>
      <c r="D13" s="6" t="n">
        <f aca="false">'고2 모의고사'!C11</f>
        <v>82</v>
      </c>
      <c r="E13" s="7" t="n">
        <f aca="false">D13-B13</f>
        <v>15</v>
      </c>
    </row>
    <row r="14" customFormat="false" ht="15" hidden="false" customHeight="false" outlineLevel="0" collapsed="false">
      <c r="A14" s="4" t="s">
        <v>15</v>
      </c>
      <c r="B14" s="5" t="n">
        <f aca="false">'고1 모의고사'!B13</f>
        <v>51</v>
      </c>
      <c r="C14" s="6" t="n">
        <f aca="false">'고1 모의고사'!K13</f>
        <v>69.5</v>
      </c>
      <c r="D14" s="6" t="n">
        <f aca="false">'고2 모의고사'!C12</f>
        <v>80</v>
      </c>
      <c r="E14" s="7" t="n">
        <f aca="false">D14-B14</f>
        <v>29</v>
      </c>
    </row>
    <row r="15" customFormat="false" ht="15" hidden="false" customHeight="false" outlineLevel="0" collapsed="false">
      <c r="A15" s="4" t="s">
        <v>16</v>
      </c>
      <c r="B15" s="5" t="n">
        <f aca="false">'고1 모의고사'!B14</f>
        <v>62</v>
      </c>
      <c r="C15" s="6" t="n">
        <f aca="false">'고1 모의고사'!K14</f>
        <v>69</v>
      </c>
      <c r="D15" s="6" t="n">
        <f aca="false">'고2 모의고사'!C13</f>
        <v>77</v>
      </c>
      <c r="E15" s="7" t="n">
        <f aca="false">D15-B15</f>
        <v>15</v>
      </c>
    </row>
    <row r="16" customFormat="false" ht="15" hidden="false" customHeight="false" outlineLevel="0" collapsed="false">
      <c r="A16" s="8" t="s">
        <v>17</v>
      </c>
      <c r="B16" s="9" t="n">
        <f aca="false">'고1 모의고사'!B15</f>
        <v>65</v>
      </c>
      <c r="C16" s="9" t="n">
        <f aca="false">'고1 모의고사'!K15</f>
        <v>75.25</v>
      </c>
      <c r="D16" s="9" t="n">
        <f aca="false">'고2 모의고사'!C14</f>
        <v>81.1666666666667</v>
      </c>
      <c r="E16" s="10" t="n">
        <f aca="false">D16-B16</f>
        <v>16.1666666666667</v>
      </c>
    </row>
    <row r="18" customFormat="false" ht="15" hidden="false" customHeight="false" outlineLevel="0" collapsed="false">
      <c r="A18" s="11" t="s">
        <v>18</v>
      </c>
    </row>
  </sheetData>
  <mergeCells count="5">
    <mergeCell ref="A3:I3"/>
    <mergeCell ref="A4:I4"/>
    <mergeCell ref="A5:I5"/>
    <mergeCell ref="A6:I6"/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3"/>
  </cols>
  <sheetData>
    <row r="1" customFormat="false" ht="19.4" hidden="false" customHeight="false" outlineLevel="0" collapsed="false">
      <c r="A1" s="1" t="s">
        <v>19</v>
      </c>
    </row>
    <row r="3" customFormat="false" ht="36" hidden="false" customHeight="true" outlineLevel="0" collapsed="false">
      <c r="A3" s="2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8" hidden="false" customHeight="true" outlineLevel="0" collapsed="false">
      <c r="A4" s="2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8" hidden="false" customHeight="true" outlineLevel="0" collapsed="false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8" hidden="false" customHeight="true" outlineLevel="0" collapsed="false">
      <c r="A6" s="2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8" customFormat="false" ht="33.75" hidden="false" customHeight="true" outlineLevel="0" collapsed="false">
      <c r="A8" s="3" t="s">
        <v>6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</row>
    <row r="9" customFormat="false" ht="15" hidden="false" customHeight="false" outlineLevel="0" collapsed="false">
      <c r="A9" s="4" t="s">
        <v>11</v>
      </c>
      <c r="B9" s="12" t="n">
        <v>63</v>
      </c>
      <c r="C9" s="12" t="n">
        <v>67</v>
      </c>
      <c r="D9" s="12" t="n">
        <v>68</v>
      </c>
      <c r="E9" s="12" t="n">
        <v>61</v>
      </c>
      <c r="F9" s="12" t="n">
        <v>66</v>
      </c>
      <c r="G9" s="12" t="n">
        <v>75</v>
      </c>
      <c r="H9" s="13" t="n">
        <f aca="false">B9</f>
        <v>63</v>
      </c>
      <c r="I9" s="13" t="n">
        <f aca="false">LOOKUP(9.99E+307,B9:G9)</f>
        <v>75</v>
      </c>
      <c r="J9" s="14" t="n">
        <f aca="false">I9-H9</f>
        <v>12</v>
      </c>
      <c r="K9" s="15" t="n">
        <f aca="false">AVERAGE(B9:G9)</f>
        <v>66.6666666666667</v>
      </c>
      <c r="L9" s="13" t="n">
        <f aca="false">MAX(B9:G9)</f>
        <v>75</v>
      </c>
    </row>
    <row r="10" customFormat="false" ht="15" hidden="false" customHeight="false" outlineLevel="0" collapsed="false">
      <c r="A10" s="4" t="s">
        <v>12</v>
      </c>
      <c r="B10" s="12" t="n">
        <v>59</v>
      </c>
      <c r="C10" s="12" t="n">
        <v>86</v>
      </c>
      <c r="D10" s="12" t="n">
        <v>76</v>
      </c>
      <c r="E10" s="12" t="n">
        <v>78</v>
      </c>
      <c r="F10" s="12" t="n">
        <v>87</v>
      </c>
      <c r="G10" s="12" t="n">
        <v>73</v>
      </c>
      <c r="H10" s="13" t="n">
        <f aca="false">B10</f>
        <v>59</v>
      </c>
      <c r="I10" s="13" t="n">
        <f aca="false">LOOKUP(9.99E+307,B10:G10)</f>
        <v>73</v>
      </c>
      <c r="J10" s="14" t="n">
        <f aca="false">I10-H10</f>
        <v>14</v>
      </c>
      <c r="K10" s="15" t="n">
        <f aca="false">AVERAGE(B10:G10)</f>
        <v>76.5</v>
      </c>
      <c r="L10" s="13" t="n">
        <f aca="false">MAX(B10:G10)</f>
        <v>87</v>
      </c>
    </row>
    <row r="11" customFormat="false" ht="15" hidden="false" customHeight="false" outlineLevel="0" collapsed="false">
      <c r="A11" s="4" t="s">
        <v>13</v>
      </c>
      <c r="B11" s="12" t="n">
        <v>88</v>
      </c>
      <c r="C11" s="12" t="n">
        <v>94</v>
      </c>
      <c r="D11" s="12" t="n">
        <v>91</v>
      </c>
      <c r="E11" s="12" t="n">
        <v>94</v>
      </c>
      <c r="F11" s="12" t="n">
        <v>87</v>
      </c>
      <c r="G11" s="12" t="n">
        <v>100</v>
      </c>
      <c r="H11" s="13" t="n">
        <f aca="false">B11</f>
        <v>88</v>
      </c>
      <c r="I11" s="13" t="n">
        <f aca="false">LOOKUP(9.99E+307,B11:G11)</f>
        <v>100</v>
      </c>
      <c r="J11" s="14" t="n">
        <f aca="false">I11-H11</f>
        <v>12</v>
      </c>
      <c r="K11" s="15" t="n">
        <f aca="false">AVERAGE(B11:G11)</f>
        <v>92.3333333333333</v>
      </c>
      <c r="L11" s="13" t="n">
        <f aca="false">MAX(B11:G11)</f>
        <v>100</v>
      </c>
    </row>
    <row r="12" customFormat="false" ht="15" hidden="false" customHeight="false" outlineLevel="0" collapsed="false">
      <c r="A12" s="4" t="s">
        <v>14</v>
      </c>
      <c r="B12" s="12" t="n">
        <v>67</v>
      </c>
      <c r="C12" s="12" t="n">
        <v>74</v>
      </c>
      <c r="D12" s="12" t="n">
        <v>71</v>
      </c>
      <c r="E12" s="12" t="n">
        <v>91</v>
      </c>
      <c r="F12" s="12" t="n">
        <v>88</v>
      </c>
      <c r="G12" s="12" t="n">
        <v>74</v>
      </c>
      <c r="H12" s="13" t="n">
        <f aca="false">B12</f>
        <v>67</v>
      </c>
      <c r="I12" s="13" t="n">
        <f aca="false">LOOKUP(9.99E+307,B12:G12)</f>
        <v>74</v>
      </c>
      <c r="J12" s="14" t="n">
        <f aca="false">I12-H12</f>
        <v>7</v>
      </c>
      <c r="K12" s="15" t="n">
        <f aca="false">AVERAGE(B12:G12)</f>
        <v>77.5</v>
      </c>
      <c r="L12" s="13" t="n">
        <f aca="false">MAX(B12:G12)</f>
        <v>91</v>
      </c>
    </row>
    <row r="13" customFormat="false" ht="15" hidden="false" customHeight="false" outlineLevel="0" collapsed="false">
      <c r="A13" s="4" t="s">
        <v>15</v>
      </c>
      <c r="B13" s="12" t="n">
        <v>51</v>
      </c>
      <c r="C13" s="12" t="n">
        <v>57</v>
      </c>
      <c r="D13" s="12" t="n">
        <v>68</v>
      </c>
      <c r="E13" s="12" t="n">
        <v>86</v>
      </c>
      <c r="F13" s="12" t="n">
        <v>73</v>
      </c>
      <c r="G13" s="12" t="n">
        <v>82</v>
      </c>
      <c r="H13" s="13" t="n">
        <f aca="false">B13</f>
        <v>51</v>
      </c>
      <c r="I13" s="13" t="n">
        <f aca="false">LOOKUP(9.99E+307,B13:G13)</f>
        <v>82</v>
      </c>
      <c r="J13" s="14" t="n">
        <f aca="false">I13-H13</f>
        <v>31</v>
      </c>
      <c r="K13" s="15" t="n">
        <f aca="false">AVERAGE(B13:G13)</f>
        <v>69.5</v>
      </c>
      <c r="L13" s="13" t="n">
        <f aca="false">MAX(B13:G13)</f>
        <v>86</v>
      </c>
    </row>
    <row r="14" customFormat="false" ht="15" hidden="false" customHeight="false" outlineLevel="0" collapsed="false">
      <c r="A14" s="4" t="s">
        <v>16</v>
      </c>
      <c r="B14" s="12" t="n">
        <v>62</v>
      </c>
      <c r="C14" s="12" t="n">
        <v>61</v>
      </c>
      <c r="D14" s="12" t="n">
        <v>69</v>
      </c>
      <c r="E14" s="12" t="n">
        <v>78</v>
      </c>
      <c r="F14" s="12" t="n">
        <v>73</v>
      </c>
      <c r="G14" s="12" t="n">
        <v>71</v>
      </c>
      <c r="H14" s="13" t="n">
        <f aca="false">B14</f>
        <v>62</v>
      </c>
      <c r="I14" s="13" t="n">
        <f aca="false">LOOKUP(9.99E+307,B14:G14)</f>
        <v>71</v>
      </c>
      <c r="J14" s="14" t="n">
        <f aca="false">I14-H14</f>
        <v>9</v>
      </c>
      <c r="K14" s="15" t="n">
        <f aca="false">AVERAGE(B14:G14)</f>
        <v>69</v>
      </c>
      <c r="L14" s="13" t="n">
        <f aca="false">MAX(B14:G14)</f>
        <v>78</v>
      </c>
    </row>
    <row r="15" customFormat="false" ht="15" hidden="false" customHeight="false" outlineLevel="0" collapsed="false">
      <c r="A15" s="8" t="s">
        <v>17</v>
      </c>
      <c r="B15" s="16" t="n">
        <f aca="false">AVERAGE(B9:B14)</f>
        <v>65</v>
      </c>
      <c r="C15" s="16" t="n">
        <f aca="false">AVERAGE(C9:C14)</f>
        <v>73.1666666666667</v>
      </c>
      <c r="D15" s="16" t="n">
        <f aca="false">AVERAGE(D9:D14)</f>
        <v>73.8333333333333</v>
      </c>
      <c r="E15" s="16" t="n">
        <f aca="false">AVERAGE(E9:E14)</f>
        <v>81.3333333333333</v>
      </c>
      <c r="F15" s="16" t="n">
        <f aca="false">AVERAGE(F9:F14)</f>
        <v>79</v>
      </c>
      <c r="G15" s="16" t="n">
        <f aca="false">AVERAGE(G9:G14)</f>
        <v>79.1666666666667</v>
      </c>
      <c r="H15" s="16" t="n">
        <f aca="false">B15</f>
        <v>65</v>
      </c>
      <c r="I15" s="16" t="n">
        <f aca="false">G15</f>
        <v>79.1666666666667</v>
      </c>
      <c r="J15" s="10" t="n">
        <f aca="false">I15-H15</f>
        <v>14.1666666666667</v>
      </c>
      <c r="K15" s="16" t="n">
        <f aca="false">AVERAGE(B9:G14)</f>
        <v>75.25</v>
      </c>
      <c r="L15" s="16" t="n">
        <f aca="false">MAX(B15:G15)</f>
        <v>81.3333333333333</v>
      </c>
    </row>
    <row r="16" customFormat="false" ht="15" hidden="false" customHeight="false" outlineLevel="0" collapsed="false">
      <c r="A16" s="11" t="s">
        <v>35</v>
      </c>
    </row>
  </sheetData>
  <mergeCells count="4">
    <mergeCell ref="A3:L3"/>
    <mergeCell ref="A4:L4"/>
    <mergeCell ref="A5:L5"/>
    <mergeCell ref="A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3"/>
  </cols>
  <sheetData>
    <row r="1" customFormat="false" ht="19.4" hidden="false" customHeight="false" outlineLevel="0" collapsed="false">
      <c r="A1" s="1" t="s">
        <v>36</v>
      </c>
    </row>
    <row r="3" customFormat="false" ht="18" hidden="false" customHeight="true" outlineLevel="0" collapsed="false">
      <c r="A3" s="2" t="s">
        <v>37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2" t="s">
        <v>38</v>
      </c>
      <c r="B4" s="2"/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A5" s="2" t="s">
        <v>39</v>
      </c>
      <c r="B5" s="2"/>
      <c r="C5" s="2"/>
      <c r="D5" s="2"/>
      <c r="E5" s="2"/>
      <c r="F5" s="2"/>
      <c r="G5" s="2"/>
      <c r="H5" s="2"/>
    </row>
    <row r="7" customFormat="false" ht="33.75" hidden="false" customHeight="true" outlineLevel="0" collapsed="false">
      <c r="A7" s="3" t="s">
        <v>6</v>
      </c>
      <c r="B7" s="3" t="s">
        <v>40</v>
      </c>
      <c r="C7" s="3" t="s">
        <v>33</v>
      </c>
    </row>
    <row r="8" customFormat="false" ht="15" hidden="false" customHeight="false" outlineLevel="0" collapsed="false">
      <c r="A8" s="4" t="s">
        <v>11</v>
      </c>
      <c r="B8" s="12" t="n">
        <v>77</v>
      </c>
      <c r="C8" s="15" t="n">
        <f aca="false">AVERAGE(B8:B8)</f>
        <v>77</v>
      </c>
    </row>
    <row r="9" customFormat="false" ht="15" hidden="false" customHeight="false" outlineLevel="0" collapsed="false">
      <c r="A9" s="4" t="s">
        <v>12</v>
      </c>
      <c r="B9" s="12" t="n">
        <v>76</v>
      </c>
      <c r="C9" s="15" t="n">
        <f aca="false">AVERAGE(B9:B9)</f>
        <v>76</v>
      </c>
    </row>
    <row r="10" customFormat="false" ht="15" hidden="false" customHeight="false" outlineLevel="0" collapsed="false">
      <c r="A10" s="4" t="s">
        <v>13</v>
      </c>
      <c r="B10" s="12" t="n">
        <v>95</v>
      </c>
      <c r="C10" s="15" t="n">
        <f aca="false">AVERAGE(B10:B10)</f>
        <v>95</v>
      </c>
    </row>
    <row r="11" customFormat="false" ht="15" hidden="false" customHeight="false" outlineLevel="0" collapsed="false">
      <c r="A11" s="4" t="s">
        <v>14</v>
      </c>
      <c r="B11" s="12" t="n">
        <v>82</v>
      </c>
      <c r="C11" s="15" t="n">
        <f aca="false">AVERAGE(B11:B11)</f>
        <v>82</v>
      </c>
    </row>
    <row r="12" customFormat="false" ht="15" hidden="false" customHeight="false" outlineLevel="0" collapsed="false">
      <c r="A12" s="4" t="s">
        <v>15</v>
      </c>
      <c r="B12" s="12" t="n">
        <v>80</v>
      </c>
      <c r="C12" s="15" t="n">
        <f aca="false">AVERAGE(B12:B12)</f>
        <v>80</v>
      </c>
    </row>
    <row r="13" customFormat="false" ht="15" hidden="false" customHeight="false" outlineLevel="0" collapsed="false">
      <c r="A13" s="4" t="s">
        <v>16</v>
      </c>
      <c r="B13" s="12" t="n">
        <v>77</v>
      </c>
      <c r="C13" s="15" t="n">
        <f aca="false">AVERAGE(B13:B13)</f>
        <v>77</v>
      </c>
    </row>
    <row r="14" customFormat="false" ht="15" hidden="false" customHeight="false" outlineLevel="0" collapsed="false">
      <c r="A14" s="8" t="s">
        <v>17</v>
      </c>
      <c r="B14" s="16" t="n">
        <f aca="false">AVERAGE(B8:B13)</f>
        <v>81.1666666666667</v>
      </c>
      <c r="C14" s="16" t="n">
        <f aca="false">AVERAGE(B8:B13)</f>
        <v>81.1666666666667</v>
      </c>
    </row>
    <row r="15" customFormat="false" ht="15" hidden="false" customHeight="false" outlineLevel="0" collapsed="false">
      <c r="A15" s="11" t="s">
        <v>35</v>
      </c>
    </row>
  </sheetData>
  <mergeCells count="3">
    <mergeCell ref="A3:H3"/>
    <mergeCell ref="A4:H4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2026-10-28T05:18:22Z</dcterms:created>
  <dc:creator>openpyxl</dc:creator>
  <dc:description/>
  <dc:language>en-US</dc:language>
  <cp:lastModifiedBy/>
  <dcterms:modified xsi:type="dcterms:W3CDTF">2026-10-28T05:18:25Z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