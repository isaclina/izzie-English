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요약" sheetId="2" state="visible" r:id="rId4"/>
    <sheet name="고1 모의고사" sheetId="3" state="visible" r:id="rId5"/>
    <sheet name="고2 모의고사" sheetId="4" state="visible" r:id="rId6"/>
    <sheet name="고3 모의고사_수능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" authorId="0">
      <text>
        <r>
          <rPr>
            <sz val="10"/>
            <rFont val="WenQuanYi Zen Hei"/>
            <family val="2"/>
          </rPr>
          <t xml:space="preserve">듣기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독해 개수 기록 없음</t>
        </r>
      </text>
    </comment>
    <comment ref="B15" authorId="0">
      <text>
        <r>
          <rPr>
            <sz val="10"/>
            <rFont val="WenQuanYi Zen Hei"/>
            <family val="2"/>
          </rPr>
          <t xml:space="preserve">듣기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독해 개수 기록 없음</t>
        </r>
      </text>
    </comment>
    <comment ref="B16" authorId="0">
      <text>
        <r>
          <rPr>
            <sz val="10"/>
            <rFont val="WenQuanYi Zen Hei"/>
            <family val="2"/>
          </rPr>
          <t xml:space="preserve">듣기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독해 개수 기록 없음</t>
        </r>
      </text>
    </comment>
    <comment ref="B17" authorId="0">
      <text>
        <r>
          <rPr>
            <sz val="10"/>
            <rFont val="WenQuanYi Zen Hei"/>
            <family val="2"/>
          </rPr>
          <t xml:space="preserve">듣기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독해 개수 기록 없음</t>
        </r>
      </text>
    </comment>
    <comment ref="B22" authorId="0">
      <text>
        <r>
          <rPr>
            <sz val="10"/>
            <rFont val="WenQuanYi Zen Hei"/>
            <family val="2"/>
          </rPr>
          <t xml:space="preserve">듣기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독해 개수 기록 없음</t>
        </r>
      </text>
    </comment>
    <comment ref="B23" authorId="0">
      <text>
        <r>
          <rPr>
            <sz val="10"/>
            <rFont val="WenQuanYi Zen Hei"/>
            <family val="2"/>
          </rPr>
          <t xml:space="preserve">듣기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독해 개수 기록 없음</t>
        </r>
      </text>
    </comment>
    <comment ref="B24" authorId="0">
      <text>
        <r>
          <rPr>
            <sz val="10"/>
            <rFont val="WenQuanYi Zen Hei"/>
            <family val="2"/>
          </rPr>
          <t xml:space="preserve">듣기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독해 개수 기록 없음</t>
        </r>
      </text>
    </comment>
    <comment ref="B25" authorId="0">
      <text>
        <r>
          <rPr>
            <sz val="10"/>
            <rFont val="WenQuanYi Zen Hei"/>
            <family val="2"/>
          </rPr>
          <t xml:space="preserve">듣기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독해 개수 기록 없음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WenQuanYi Zen Hei"/>
            <family val="2"/>
          </rPr>
          <t xml:space="preserve">기말고사 기간으로 미응시</t>
        </r>
      </text>
    </comment>
    <comment ref="C17" authorId="0">
      <text>
        <r>
          <rPr>
            <sz val="10"/>
            <rFont val="WenQuanYi Zen Hei"/>
            <family val="2"/>
          </rPr>
          <t xml:space="preserve">기말고사 기간으로 미응시</t>
        </r>
      </text>
    </comment>
    <comment ref="C25" authorId="0">
      <text>
        <r>
          <rPr>
            <sz val="10"/>
            <rFont val="WenQuanYi Zen Hei"/>
            <family val="2"/>
          </rPr>
          <t xml:space="preserve">기말고사 기간으로 미응시</t>
        </r>
      </text>
    </comment>
  </commentList>
</comments>
</file>

<file path=xl/sharedStrings.xml><?xml version="1.0" encoding="utf-8"?>
<sst xmlns="http://schemas.openxmlformats.org/spreadsheetml/2006/main" count="174" uniqueCount="57">
  <si>
    <r>
      <rPr>
        <b val="true"/>
        <sz val="14"/>
        <rFont val="WenQuanYi Zen Hei"/>
        <family val="2"/>
      </rPr>
      <t xml:space="preserve">김건희 반 시험 수준별 성적 변화 </t>
    </r>
    <r>
      <rPr>
        <b val="true"/>
        <sz val="14"/>
        <rFont val="Arial"/>
        <family val="0"/>
        <charset val="1"/>
      </rPr>
      <t xml:space="preserve">(2020–2022)</t>
    </r>
  </si>
  <si>
    <r>
      <rPr>
        <sz val="9"/>
        <color rgb="FF666666"/>
        <rFont val="WenQuanYi Zen Hei"/>
        <family val="2"/>
      </rPr>
      <t xml:space="preserve">대상</t>
    </r>
    <r>
      <rPr>
        <sz val="9"/>
        <color rgb="FF666666"/>
        <rFont val="Arial"/>
        <family val="0"/>
        <charset val="1"/>
      </rPr>
      <t xml:space="preserve">: 2020 1M-A 1</t>
    </r>
    <r>
      <rPr>
        <sz val="9"/>
        <color rgb="FF666666"/>
        <rFont val="WenQuanYi Zen Hei"/>
        <family val="2"/>
      </rPr>
      <t xml:space="preserve">차 모의고사 상위 </t>
    </r>
    <r>
      <rPr>
        <sz val="9"/>
        <color rgb="FF666666"/>
        <rFont val="Arial"/>
        <family val="0"/>
        <charset val="1"/>
      </rPr>
      <t xml:space="preserve">4</t>
    </r>
    <r>
      <rPr>
        <sz val="9"/>
        <color rgb="FF666666"/>
        <rFont val="WenQuanYi Zen Hei"/>
        <family val="2"/>
      </rPr>
      <t xml:space="preserve">명 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WenQuanYi Zen Hei"/>
        <family val="2"/>
      </rPr>
      <t xml:space="preserve">김건희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안도후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안동휘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나민하</t>
    </r>
    <r>
      <rPr>
        <sz val="9"/>
        <color rgb="FF666666"/>
        <rFont val="Arial"/>
        <family val="0"/>
        <charset val="1"/>
      </rPr>
      <t xml:space="preserve">) · Metta </t>
    </r>
    <r>
      <rPr>
        <sz val="9"/>
        <color rgb="FF666666"/>
        <rFont val="WenQuanYi Zen Hei"/>
        <family val="2"/>
      </rPr>
      <t xml:space="preserve">영어 전문학원 성적표 사진에서 옮김</t>
    </r>
  </si>
  <si>
    <t xml:space="preserve">시트 구성</t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</si>
  <si>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요약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시험 수준별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영역별 반 평균의 첫 시험 → 마지막 시험 변화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</si>
  <si>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모의고사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1(2020) 1·2·3·4·5</t>
    </r>
    <r>
      <rPr>
        <sz val="11"/>
        <rFont val="WenQuanYi Zen Hei"/>
        <family val="2"/>
      </rPr>
      <t xml:space="preserve">차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2(2021) 1·2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듣기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독해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총점 표와 그래프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</si>
  <si>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모의고사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2(2021) 3·4</t>
    </r>
    <r>
      <rPr>
        <sz val="11"/>
        <rFont val="WenQuanYi Zen Hei"/>
        <family val="2"/>
      </rPr>
      <t xml:space="preserve">차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3(2022) 1·2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듣기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독해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총점 표와 그래프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</si>
  <si>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모의고사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수능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3(2022) 3·4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듣기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독해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총점 표와 그래프</t>
    </r>
  </si>
  <si>
    <t xml:space="preserve">읽는 법</t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</si>
  <si>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듣기 </t>
    </r>
    <r>
      <rPr>
        <sz val="11"/>
        <rFont val="Arial"/>
        <family val="0"/>
        <charset val="1"/>
      </rPr>
      <t xml:space="preserve">17</t>
    </r>
    <r>
      <rPr>
        <sz val="11"/>
        <rFont val="WenQuanYi Zen Hei"/>
        <family val="2"/>
      </rPr>
      <t xml:space="preserve">문항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독해 </t>
    </r>
    <r>
      <rPr>
        <sz val="11"/>
        <rFont val="Arial"/>
        <family val="0"/>
        <charset val="1"/>
      </rPr>
      <t xml:space="preserve">28</t>
    </r>
    <r>
      <rPr>
        <sz val="11"/>
        <rFont val="WenQuanYi Zen Hei"/>
        <family val="2"/>
      </rPr>
      <t xml:space="preserve">문항 기준 맞은 개수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총점 </t>
    </r>
    <r>
      <rPr>
        <sz val="11"/>
        <rFont val="Arial"/>
        <family val="0"/>
        <charset val="1"/>
      </rPr>
      <t xml:space="preserve">100</t>
    </r>
    <r>
      <rPr>
        <sz val="11"/>
        <rFont val="WenQuanYi Zen Hei"/>
        <family val="2"/>
      </rPr>
      <t xml:space="preserve">점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</si>
  <si>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파란 글씨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성적표에서 옮긴 값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고치면 계산과 그래프가 바뀜</t>
    </r>
    <r>
      <rPr>
        <sz val="11"/>
        <rFont val="Arial"/>
        <family val="0"/>
        <charset val="1"/>
      </rPr>
      <t xml:space="preserve">) · </t>
    </r>
    <r>
      <rPr>
        <sz val="11"/>
        <rFont val="WenQuanYi Zen Hei"/>
        <family val="2"/>
      </rPr>
      <t xml:space="preserve">검은 글씨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계산식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초록 글씨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다른 시트 값</t>
    </r>
  </si>
  <si>
    <t xml:space="preserve">참고</t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</si>
  <si>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 1·2</t>
    </r>
    <r>
      <rPr>
        <sz val="11"/>
        <rFont val="WenQuanYi Zen Hei"/>
        <family val="2"/>
      </rPr>
      <t xml:space="preserve">차는 성적표에 시험 수준 표기가 없습니다</t>
    </r>
    <r>
      <rPr>
        <sz val="11"/>
        <rFont val="Arial"/>
        <family val="0"/>
        <charset val="1"/>
      </rPr>
      <t xml:space="preserve">. 3</t>
    </r>
    <r>
      <rPr>
        <sz val="11"/>
        <rFont val="WenQuanYi Zen Hei"/>
        <family val="2"/>
      </rPr>
      <t xml:space="preserve">차부터 </t>
    </r>
    <r>
      <rPr>
        <sz val="11"/>
        <rFont val="Arial"/>
        <family val="0"/>
        <charset val="1"/>
      </rPr>
      <t xml:space="preserve">"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모의고사</t>
    </r>
    <r>
      <rPr>
        <sz val="11"/>
        <rFont val="Arial"/>
        <family val="0"/>
        <charset val="1"/>
      </rPr>
      <t xml:space="preserve">"</t>
    </r>
    <r>
      <rPr>
        <sz val="11"/>
        <rFont val="WenQuanYi Zen Hei"/>
        <family val="2"/>
      </rPr>
      <t xml:space="preserve">로 표기되어 있어 </t>
    </r>
    <r>
      <rPr>
        <sz val="11"/>
        <rFont val="Arial"/>
        <family val="0"/>
        <charset val="1"/>
      </rPr>
      <t xml:space="preserve">1·2</t>
    </r>
    <r>
      <rPr>
        <sz val="11"/>
        <rFont val="WenQuanYi Zen Hei"/>
        <family val="2"/>
      </rPr>
      <t xml:space="preserve">차는 고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모의고사로 분류했습니다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</si>
  <si>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1 1</t>
    </r>
    <r>
      <rPr>
        <sz val="11"/>
        <rFont val="WenQuanYi Zen Hei"/>
        <family val="2"/>
      </rPr>
      <t xml:space="preserve">차는 듣기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독해 개수 기록이 없어 듣기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독해 그래프에서 빈칸입니다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</si>
  <si>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나민하는 </t>
    </r>
    <r>
      <rPr>
        <sz val="11"/>
        <rFont val="Arial"/>
        <family val="0"/>
        <charset val="1"/>
      </rPr>
      <t xml:space="preserve">2023</t>
    </r>
    <r>
      <rPr>
        <sz val="11"/>
        <rFont val="WenQuanYi Zen Hei"/>
        <family val="2"/>
      </rPr>
      <t xml:space="preserve">학년도 수능 날이 기말고사 기간이라 응시하지 않았습니다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빈칸</t>
    </r>
    <r>
      <rPr>
        <sz val="11"/>
        <rFont val="Arial"/>
        <family val="0"/>
        <charset val="1"/>
      </rPr>
      <t xml:space="preserve">).</t>
    </r>
  </si>
  <si>
    <r>
      <rPr>
        <b val="true"/>
        <sz val="14"/>
        <rFont val="WenQuanYi Zen Hei"/>
        <family val="2"/>
      </rPr>
      <t xml:space="preserve">김건희 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시험 수준별 반 평균 변화</t>
    </r>
  </si>
  <si>
    <r>
      <rPr>
        <sz val="9"/>
        <color rgb="FF666666"/>
        <rFont val="WenQuanYi Zen Hei"/>
        <family val="2"/>
      </rPr>
      <t xml:space="preserve">초록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각 시트의 반 평균 행에서 가져온 값</t>
    </r>
  </si>
  <si>
    <t xml:space="preserve">시험 수준</t>
  </si>
  <si>
    <t xml:space="preserve">영역</t>
  </si>
  <si>
    <t xml:space="preserve">첫 시험 평균</t>
  </si>
  <si>
    <t xml:space="preserve">마지막 시험 평균</t>
  </si>
  <si>
    <t xml:space="preserve">변화</t>
  </si>
  <si>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</t>
    </r>
  </si>
  <si>
    <t xml:space="preserve">총점</t>
  </si>
  <si>
    <t xml:space="preserve">듣기</t>
  </si>
  <si>
    <t xml:space="preserve">독해</t>
  </si>
  <si>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2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</si>
  <si>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3 </t>
    </r>
    <r>
      <rPr>
        <b val="true"/>
        <sz val="11"/>
        <rFont val="WenQuanYi Zen Hei"/>
        <family val="2"/>
      </rPr>
      <t xml:space="preserve">모의고사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WenQuanYi Zen Hei"/>
        <family val="2"/>
      </rPr>
      <t xml:space="preserve">수능</t>
    </r>
  </si>
  <si>
    <r>
      <rPr>
        <b val="true"/>
        <sz val="14"/>
        <rFont val="WenQuanYi Zen Hei"/>
        <family val="2"/>
      </rPr>
      <t xml:space="preserve">김건희 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고</t>
    </r>
    <r>
      <rPr>
        <b val="true"/>
        <sz val="14"/>
        <rFont val="Arial"/>
        <family val="0"/>
        <charset val="1"/>
      </rPr>
      <t xml:space="preserve">1 </t>
    </r>
    <r>
      <rPr>
        <b val="true"/>
        <sz val="14"/>
        <rFont val="WenQuanYi Zen Hei"/>
        <family val="2"/>
      </rPr>
      <t xml:space="preserve">모의고사 성적 변화</t>
    </r>
  </si>
  <si>
    <r>
      <rPr>
        <sz val="9"/>
        <color rgb="FF666666"/>
        <rFont val="WenQuanYi Zen Hei"/>
        <family val="2"/>
      </rPr>
      <t xml:space="preserve">중</t>
    </r>
    <r>
      <rPr>
        <sz val="9"/>
        <color rgb="FF666666"/>
        <rFont val="Arial"/>
        <family val="0"/>
        <charset val="1"/>
      </rPr>
      <t xml:space="preserve">1(2020) 1·2·3·4·5</t>
    </r>
    <r>
      <rPr>
        <sz val="9"/>
        <color rgb="FF666666"/>
        <rFont val="WenQuanYi Zen Hei"/>
        <family val="2"/>
      </rPr>
      <t xml:space="preserve">차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중</t>
    </r>
    <r>
      <rPr>
        <sz val="9"/>
        <color rgb="FF666666"/>
        <rFont val="Arial"/>
        <family val="0"/>
        <charset val="1"/>
      </rPr>
      <t xml:space="preserve">2(2021) 1·2</t>
    </r>
    <r>
      <rPr>
        <sz val="9"/>
        <color rgb="FF666666"/>
        <rFont val="WenQuanYi Zen Hei"/>
        <family val="2"/>
      </rPr>
      <t xml:space="preserve">차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WenQuanYi Zen Hei"/>
        <family val="2"/>
      </rPr>
      <t xml:space="preserve">파란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성적표 입력값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검은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계산식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빈칸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기록 없음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WenQuanYi Zen Hei"/>
        <family val="2"/>
      </rPr>
      <t xml:space="preserve">미응시</t>
    </r>
  </si>
  <si>
    <r>
      <rPr>
        <b val="true"/>
        <sz val="11"/>
        <rFont val="WenQuanYi Zen Hei"/>
        <family val="2"/>
      </rPr>
      <t xml:space="preserve">총점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점 </t>
    </r>
    <r>
      <rPr>
        <b val="true"/>
        <sz val="11"/>
        <rFont val="Arial"/>
        <family val="0"/>
        <charset val="1"/>
      </rPr>
      <t xml:space="preserve">/ 100)</t>
    </r>
  </si>
  <si>
    <t xml:space="preserve">학생</t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</si>
  <si>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1 1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</si>
  <si>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1 2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</si>
  <si>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1 3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</si>
  <si>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1 4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</si>
  <si>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1 5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</si>
  <si>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2 1</t>
    </r>
    <r>
      <rPr>
        <b val="true"/>
        <sz val="11"/>
        <rFont val="WenQuanYi Zen Hei"/>
        <family val="2"/>
      </rPr>
      <t xml:space="preserve">차
수준 표기 없음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</si>
  <si>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2 2</t>
    </r>
    <r>
      <rPr>
        <b val="true"/>
        <sz val="11"/>
        <rFont val="WenQuanYi Zen Hei"/>
        <family val="2"/>
      </rPr>
      <t xml:space="preserve">차
수준 표기 없음</t>
    </r>
  </si>
  <si>
    <t xml:space="preserve">첫 시험</t>
  </si>
  <si>
    <t xml:space="preserve">마지막 시험</t>
  </si>
  <si>
    <t xml:space="preserve">김건희</t>
  </si>
  <si>
    <t xml:space="preserve">안도후</t>
  </si>
  <si>
    <t xml:space="preserve">안동휘</t>
  </si>
  <si>
    <t xml:space="preserve">나민하</t>
  </si>
  <si>
    <t xml:space="preserve">반 평균</t>
  </si>
  <si>
    <r>
      <rPr>
        <b val="true"/>
        <sz val="11"/>
        <rFont val="WenQuanYi Zen Hei"/>
        <family val="2"/>
      </rPr>
      <t xml:space="preserve">듣기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맞은 개수 </t>
    </r>
    <r>
      <rPr>
        <b val="true"/>
        <sz val="11"/>
        <rFont val="Arial"/>
        <family val="0"/>
        <charset val="1"/>
      </rPr>
      <t xml:space="preserve">/ 17)</t>
    </r>
  </si>
  <si>
    <r>
      <rPr>
        <b val="true"/>
        <sz val="11"/>
        <rFont val="WenQuanYi Zen Hei"/>
        <family val="2"/>
      </rPr>
      <t xml:space="preserve">독해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맞은 개수 </t>
    </r>
    <r>
      <rPr>
        <b val="true"/>
        <sz val="11"/>
        <rFont val="Arial"/>
        <family val="0"/>
        <charset val="1"/>
      </rPr>
      <t xml:space="preserve">/ 28)</t>
    </r>
  </si>
  <si>
    <r>
      <rPr>
        <b val="true"/>
        <sz val="14"/>
        <rFont val="WenQuanYi Zen Hei"/>
        <family val="2"/>
      </rPr>
      <t xml:space="preserve">김건희 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고</t>
    </r>
    <r>
      <rPr>
        <b val="true"/>
        <sz val="14"/>
        <rFont val="Arial"/>
        <family val="0"/>
        <charset val="1"/>
      </rPr>
      <t xml:space="preserve">2 </t>
    </r>
    <r>
      <rPr>
        <b val="true"/>
        <sz val="14"/>
        <rFont val="WenQuanYi Zen Hei"/>
        <family val="2"/>
      </rPr>
      <t xml:space="preserve">모의고사 성적 변화</t>
    </r>
  </si>
  <si>
    <r>
      <rPr>
        <sz val="9"/>
        <color rgb="FF666666"/>
        <rFont val="WenQuanYi Zen Hei"/>
        <family val="2"/>
      </rPr>
      <t xml:space="preserve">중</t>
    </r>
    <r>
      <rPr>
        <sz val="9"/>
        <color rgb="FF666666"/>
        <rFont val="Arial"/>
        <family val="0"/>
        <charset val="1"/>
      </rPr>
      <t xml:space="preserve">2(2021) 3·4</t>
    </r>
    <r>
      <rPr>
        <sz val="9"/>
        <color rgb="FF666666"/>
        <rFont val="WenQuanYi Zen Hei"/>
        <family val="2"/>
      </rPr>
      <t xml:space="preserve">차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중</t>
    </r>
    <r>
      <rPr>
        <sz val="9"/>
        <color rgb="FF666666"/>
        <rFont val="Arial"/>
        <family val="0"/>
        <charset val="1"/>
      </rPr>
      <t xml:space="preserve">3(2022) 1·2</t>
    </r>
    <r>
      <rPr>
        <sz val="9"/>
        <color rgb="FF666666"/>
        <rFont val="WenQuanYi Zen Hei"/>
        <family val="2"/>
      </rPr>
      <t xml:space="preserve">차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WenQuanYi Zen Hei"/>
        <family val="2"/>
      </rPr>
      <t xml:space="preserve">파란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성적표 입력값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검은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계산식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빈칸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기록 없음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WenQuanYi Zen Hei"/>
        <family val="2"/>
      </rPr>
      <t xml:space="preserve">미응시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</si>
  <si>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2 3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2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</si>
  <si>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2 4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2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</si>
  <si>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3 1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2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</si>
  <si>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3 2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2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</si>
  <si>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4"/>
        <rFont val="WenQuanYi Zen Hei"/>
        <family val="2"/>
      </rPr>
      <t xml:space="preserve">김건희 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고</t>
    </r>
    <r>
      <rPr>
        <b val="true"/>
        <sz val="14"/>
        <rFont val="Arial"/>
        <family val="0"/>
        <charset val="1"/>
      </rPr>
      <t xml:space="preserve">3 </t>
    </r>
    <r>
      <rPr>
        <b val="true"/>
        <sz val="14"/>
        <rFont val="WenQuanYi Zen Hei"/>
        <family val="2"/>
      </rPr>
      <t xml:space="preserve">모의고사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수능 성적 변화</t>
    </r>
  </si>
  <si>
    <r>
      <rPr>
        <sz val="9"/>
        <color rgb="FF666666"/>
        <rFont val="WenQuanYi Zen Hei"/>
        <family val="2"/>
      </rPr>
      <t xml:space="preserve">중</t>
    </r>
    <r>
      <rPr>
        <sz val="9"/>
        <color rgb="FF666666"/>
        <rFont val="Arial"/>
        <family val="0"/>
        <charset val="1"/>
      </rPr>
      <t xml:space="preserve">3(2022) 3·4</t>
    </r>
    <r>
      <rPr>
        <sz val="9"/>
        <color rgb="FF666666"/>
        <rFont val="WenQuanYi Zen Hei"/>
        <family val="2"/>
      </rPr>
      <t xml:space="preserve">차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WenQuanYi Zen Hei"/>
        <family val="2"/>
      </rPr>
      <t xml:space="preserve">파란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성적표 입력값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검은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계산식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빈칸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기록 없음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WenQuanYi Zen Hei"/>
        <family val="2"/>
      </rPr>
      <t xml:space="preserve">미응시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</si>
  <si>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3 3</t>
    </r>
    <r>
      <rPr>
        <b val="true"/>
        <sz val="11"/>
        <rFont val="WenQuanYi Zen Hei"/>
        <family val="2"/>
      </rPr>
      <t xml:space="preserve">차
고</t>
    </r>
    <r>
      <rPr>
        <b val="true"/>
        <sz val="11"/>
        <rFont val="Arial"/>
        <family val="0"/>
        <charset val="1"/>
      </rPr>
      <t xml:space="preserve">3 </t>
    </r>
    <r>
      <rPr>
        <b val="true"/>
        <sz val="11"/>
        <rFont val="WenQuanYi Zen Hei"/>
        <family val="2"/>
      </rPr>
      <t xml:space="preserve">모의고사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</si>
  <si>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3 4</t>
    </r>
    <r>
      <rPr>
        <b val="true"/>
        <sz val="11"/>
        <rFont val="WenQuanYi Zen Hei"/>
        <family val="2"/>
      </rPr>
      <t xml:space="preserve">차
수능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</si>
</sst>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\+0.0;\-0.0;0.0"/>
    <numFmt numFmtId="167" formatCode="\+0;\-0;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sz val="9"/>
      <color rgb="FF666666"/>
      <name val="WenQuanYi Zen Hei"/>
      <family val="2"/>
    </font>
    <font>
      <sz val="9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WenQuanYi Zen Hei"/>
      <family val="2"/>
    </font>
    <font>
      <sz val="11"/>
      <name val="WenQuanYi Zen Hei"/>
      <family val="2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WenQuanYi Zen He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E7E4"/>
        <bgColor rgb="FFD9D9D9"/>
      </patternFill>
    </fill>
    <fill>
      <patternFill patternType="solid">
        <fgColor rgb="FFF2F2F2"/>
        <bgColor rgb="FFDDE7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7E4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고1 모의고사 · 총점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'고1 모의고사'!A6</c:f>
              <c:strCache>
                <c:ptCount val="1"/>
                <c:pt idx="0">
                  <c:v>김건희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모의고사'!$B$5:$H$5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수준 표기 없음</c:v>
                </c:pt>
                <c:pt idx="6">
                  <c:v>중2 2차
수준 표기 없음</c:v>
                </c:pt>
              </c:strCache>
            </c:strRef>
          </c:cat>
          <c:val>
            <c:numRef>
              <c:f>'고1 모의고사'!$B$6:$H$6</c:f>
              <c:numCache>
                <c:formatCode>General</c:formatCode>
                <c:ptCount val="7"/>
                <c:pt idx="0">
                  <c:v>69</c:v>
                </c:pt>
                <c:pt idx="1">
                  <c:v>75</c:v>
                </c:pt>
                <c:pt idx="2">
                  <c:v>76</c:v>
                </c:pt>
                <c:pt idx="3">
                  <c:v>90</c:v>
                </c:pt>
                <c:pt idx="4">
                  <c:v>73</c:v>
                </c:pt>
                <c:pt idx="5">
                  <c:v>82</c:v>
                </c:pt>
                <c:pt idx="6">
                  <c:v>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'고1 모의고사'!A7</c:f>
              <c:strCache>
                <c:ptCount val="1"/>
                <c:pt idx="0">
                  <c:v>안도후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모의고사'!$B$5:$H$5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수준 표기 없음</c:v>
                </c:pt>
                <c:pt idx="6">
                  <c:v>중2 2차
수준 표기 없음</c:v>
                </c:pt>
              </c:strCache>
            </c:strRef>
          </c:cat>
          <c:val>
            <c:numRef>
              <c:f>'고1 모의고사'!$B$7:$H$7</c:f>
              <c:numCache>
                <c:formatCode>General</c:formatCode>
                <c:ptCount val="7"/>
                <c:pt idx="0">
                  <c:v>67</c:v>
                </c:pt>
                <c:pt idx="1">
                  <c:v>66</c:v>
                </c:pt>
                <c:pt idx="2">
                  <c:v>72</c:v>
                </c:pt>
                <c:pt idx="3">
                  <c:v>81</c:v>
                </c:pt>
                <c:pt idx="4">
                  <c:v>84</c:v>
                </c:pt>
                <c:pt idx="5">
                  <c:v>83</c:v>
                </c:pt>
                <c:pt idx="6">
                  <c:v>93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'고1 모의고사'!A8</c:f>
              <c:strCache>
                <c:ptCount val="1"/>
                <c:pt idx="0">
                  <c:v>안동휘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모의고사'!$B$5:$H$5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수준 표기 없음</c:v>
                </c:pt>
                <c:pt idx="6">
                  <c:v>중2 2차
수준 표기 없음</c:v>
                </c:pt>
              </c:strCache>
            </c:strRef>
          </c:cat>
          <c:val>
            <c:numRef>
              <c:f>'고1 모의고사'!$B$8:$H$8</c:f>
              <c:numCache>
                <c:formatCode>General</c:formatCode>
                <c:ptCount val="7"/>
                <c:pt idx="0">
                  <c:v>58</c:v>
                </c:pt>
                <c:pt idx="1">
                  <c:v>73</c:v>
                </c:pt>
                <c:pt idx="2">
                  <c:v>75</c:v>
                </c:pt>
                <c:pt idx="3">
                  <c:v>78</c:v>
                </c:pt>
                <c:pt idx="4">
                  <c:v>77</c:v>
                </c:pt>
                <c:pt idx="5">
                  <c:v>77</c:v>
                </c:pt>
                <c:pt idx="6">
                  <c:v>90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'고1 모의고사'!A9</c:f>
              <c:strCache>
                <c:ptCount val="1"/>
                <c:pt idx="0">
                  <c:v>나민하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모의고사'!$B$5:$H$5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수준 표기 없음</c:v>
                </c:pt>
                <c:pt idx="6">
                  <c:v>중2 2차
수준 표기 없음</c:v>
                </c:pt>
              </c:strCache>
            </c:strRef>
          </c:cat>
          <c:val>
            <c:numRef>
              <c:f>'고1 모의고사'!$B$9:$H$9</c:f>
              <c:numCache>
                <c:formatCode>General</c:formatCode>
                <c:ptCount val="7"/>
                <c:pt idx="0">
                  <c:v>57</c:v>
                </c:pt>
                <c:pt idx="1">
                  <c:v>79</c:v>
                </c:pt>
                <c:pt idx="2">
                  <c:v>76</c:v>
                </c:pt>
                <c:pt idx="3">
                  <c:v>71</c:v>
                </c:pt>
                <c:pt idx="4">
                  <c:v>80</c:v>
                </c:pt>
                <c:pt idx="5">
                  <c:v>74</c:v>
                </c:pt>
                <c:pt idx="6">
                  <c:v>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3266507"/>
        <c:axId val="63816366"/>
      </c:lineChart>
      <c:catAx>
        <c:axId val="532665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16366"/>
        <c:crosses val="autoZero"/>
        <c:auto val="1"/>
        <c:lblAlgn val="ctr"/>
        <c:lblOffset val="100"/>
        <c:noMultiLvlLbl val="0"/>
      </c:catAx>
      <c:valAx>
        <c:axId val="63816366"/>
        <c:scaling>
          <c:orientation val="minMax"/>
          <c:max val="100"/>
          <c:min val="4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점 / 100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66507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고1 모의고사 · 듣기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'고1 모의고사'!A14</c:f>
              <c:strCache>
                <c:ptCount val="1"/>
                <c:pt idx="0">
                  <c:v>김건희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모의고사'!$B$13:$H$13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수준 표기 없음</c:v>
                </c:pt>
                <c:pt idx="6">
                  <c:v>중2 2차
수준 표기 없음</c:v>
                </c:pt>
              </c:strCache>
            </c:strRef>
          </c:cat>
          <c:val>
            <c:numRef>
              <c:f>'고1 모의고사'!$B$14:$H$14</c:f>
              <c:numCache>
                <c:formatCode>General</c:formatCode>
                <c:ptCount val="7"/>
                <c:pt idx="1">
                  <c:v>16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17</c:v>
                </c:pt>
                <c:pt idx="6">
                  <c:v>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'고1 모의고사'!A15</c:f>
              <c:strCache>
                <c:ptCount val="1"/>
                <c:pt idx="0">
                  <c:v>안도후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모의고사'!$B$13:$H$13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수준 표기 없음</c:v>
                </c:pt>
                <c:pt idx="6">
                  <c:v>중2 2차
수준 표기 없음</c:v>
                </c:pt>
              </c:strCache>
            </c:strRef>
          </c:cat>
          <c:val>
            <c:numRef>
              <c:f>'고1 모의고사'!$B$15:$H$15</c:f>
              <c:numCache>
                <c:formatCode>General</c:formatCode>
                <c:ptCount val="7"/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'고1 모의고사'!A16</c:f>
              <c:strCache>
                <c:ptCount val="1"/>
                <c:pt idx="0">
                  <c:v>안동휘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모의고사'!$B$13:$H$13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수준 표기 없음</c:v>
                </c:pt>
                <c:pt idx="6">
                  <c:v>중2 2차
수준 표기 없음</c:v>
                </c:pt>
              </c:strCache>
            </c:strRef>
          </c:cat>
          <c:val>
            <c:numRef>
              <c:f>'고1 모의고사'!$B$16:$H$16</c:f>
              <c:numCache>
                <c:formatCode>General</c:formatCode>
                <c:ptCount val="7"/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17</c:v>
                </c:pt>
                <c:pt idx="6">
                  <c:v>17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'고1 모의고사'!A17</c:f>
              <c:strCache>
                <c:ptCount val="1"/>
                <c:pt idx="0">
                  <c:v>나민하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모의고사'!$B$13:$H$13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수준 표기 없음</c:v>
                </c:pt>
                <c:pt idx="6">
                  <c:v>중2 2차
수준 표기 없음</c:v>
                </c:pt>
              </c:strCache>
            </c:strRef>
          </c:cat>
          <c:val>
            <c:numRef>
              <c:f>'고1 모의고사'!$B$17:$H$17</c:f>
              <c:numCache>
                <c:formatCode>General</c:formatCode>
                <c:ptCount val="7"/>
                <c:pt idx="1">
                  <c:v>16</c:v>
                </c:pt>
                <c:pt idx="2">
                  <c:v>17</c:v>
                </c:pt>
                <c:pt idx="3">
                  <c:v>15</c:v>
                </c:pt>
                <c:pt idx="4">
                  <c:v>17</c:v>
                </c:pt>
                <c:pt idx="5">
                  <c:v>16</c:v>
                </c:pt>
                <c:pt idx="6">
                  <c:v>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941886"/>
        <c:axId val="13232281"/>
      </c:lineChart>
      <c:catAx>
        <c:axId val="89418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32281"/>
        <c:crosses val="autoZero"/>
        <c:auto val="1"/>
        <c:lblAlgn val="ctr"/>
        <c:lblOffset val="100"/>
        <c:noMultiLvlLbl val="0"/>
      </c:catAx>
      <c:valAx>
        <c:axId val="13232281"/>
        <c:scaling>
          <c:orientation val="minMax"/>
          <c:max val="17"/>
          <c:min val="1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맞은 개수 / 17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1886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고1 모의고사 · 독해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'고1 모의고사'!A22</c:f>
              <c:strCache>
                <c:ptCount val="1"/>
                <c:pt idx="0">
                  <c:v>김건희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모의고사'!$B$21:$H$21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수준 표기 없음</c:v>
                </c:pt>
                <c:pt idx="6">
                  <c:v>중2 2차
수준 표기 없음</c:v>
                </c:pt>
              </c:strCache>
            </c:strRef>
          </c:cat>
          <c:val>
            <c:numRef>
              <c:f>'고1 모의고사'!$B$22:$H$22</c:f>
              <c:numCache>
                <c:formatCode>General</c:formatCode>
                <c:ptCount val="7"/>
                <c:pt idx="1">
                  <c:v>18</c:v>
                </c:pt>
                <c:pt idx="2">
                  <c:v>19</c:v>
                </c:pt>
                <c:pt idx="3">
                  <c:v>24</c:v>
                </c:pt>
                <c:pt idx="4">
                  <c:v>18</c:v>
                </c:pt>
                <c:pt idx="5">
                  <c:v>21</c:v>
                </c:pt>
                <c:pt idx="6">
                  <c:v>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'고1 모의고사'!A23</c:f>
              <c:strCache>
                <c:ptCount val="1"/>
                <c:pt idx="0">
                  <c:v>안도후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모의고사'!$B$21:$H$21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수준 표기 없음</c:v>
                </c:pt>
                <c:pt idx="6">
                  <c:v>중2 2차
수준 표기 없음</c:v>
                </c:pt>
              </c:strCache>
            </c:strRef>
          </c:cat>
          <c:val>
            <c:numRef>
              <c:f>'고1 모의고사'!$B$23:$H$23</c:f>
              <c:numCache>
                <c:formatCode>General</c:formatCode>
                <c:ptCount val="7"/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21</c:v>
                </c:pt>
                <c:pt idx="5">
                  <c:v>21</c:v>
                </c:pt>
                <c:pt idx="6">
                  <c:v>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'고1 모의고사'!A24</c:f>
              <c:strCache>
                <c:ptCount val="1"/>
                <c:pt idx="0">
                  <c:v>안동휘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모의고사'!$B$21:$H$21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수준 표기 없음</c:v>
                </c:pt>
                <c:pt idx="6">
                  <c:v>중2 2차
수준 표기 없음</c:v>
                </c:pt>
              </c:strCache>
            </c:strRef>
          </c:cat>
          <c:val>
            <c:numRef>
              <c:f>'고1 모의고사'!$B$24:$H$24</c:f>
              <c:numCache>
                <c:formatCode>General</c:formatCode>
                <c:ptCount val="7"/>
                <c:pt idx="1">
                  <c:v>16</c:v>
                </c:pt>
                <c:pt idx="2">
                  <c:v>18</c:v>
                </c:pt>
                <c:pt idx="3">
                  <c:v>18</c:v>
                </c:pt>
                <c:pt idx="4">
                  <c:v>19</c:v>
                </c:pt>
                <c:pt idx="5">
                  <c:v>19</c:v>
                </c:pt>
                <c:pt idx="6">
                  <c:v>24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'고1 모의고사'!A25</c:f>
              <c:strCache>
                <c:ptCount val="1"/>
                <c:pt idx="0">
                  <c:v>나민하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모의고사'!$B$21:$H$21</c:f>
              <c:strCache>
                <c:ptCount val="7"/>
                <c:pt idx="0">
                  <c:v>중1 1차
고1 모의고사</c:v>
                </c:pt>
                <c:pt idx="1">
                  <c:v>중1 2차
고1 모의고사</c:v>
                </c:pt>
                <c:pt idx="2">
                  <c:v>중1 3차
고1 모의고사</c:v>
                </c:pt>
                <c:pt idx="3">
                  <c:v>중1 4차
고1 모의고사</c:v>
                </c:pt>
                <c:pt idx="4">
                  <c:v>중1 5차
고1 모의고사</c:v>
                </c:pt>
                <c:pt idx="5">
                  <c:v>중2 1차
수준 표기 없음</c:v>
                </c:pt>
                <c:pt idx="6">
                  <c:v>중2 2차
수준 표기 없음</c:v>
                </c:pt>
              </c:strCache>
            </c:strRef>
          </c:cat>
          <c:val>
            <c:numRef>
              <c:f>'고1 모의고사'!$B$25:$H$25</c:f>
              <c:numCache>
                <c:formatCode>General</c:formatCode>
                <c:ptCount val="7"/>
                <c:pt idx="1">
                  <c:v>20</c:v>
                </c:pt>
                <c:pt idx="2">
                  <c:v>18</c:v>
                </c:pt>
                <c:pt idx="3">
                  <c:v>17</c:v>
                </c:pt>
                <c:pt idx="4">
                  <c:v>19</c:v>
                </c:pt>
                <c:pt idx="5">
                  <c:v>18</c:v>
                </c:pt>
                <c:pt idx="6">
                  <c:v>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1153194"/>
        <c:axId val="87260075"/>
      </c:lineChart>
      <c:catAx>
        <c:axId val="911531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60075"/>
        <c:crosses val="autoZero"/>
        <c:auto val="1"/>
        <c:lblAlgn val="ctr"/>
        <c:lblOffset val="100"/>
        <c:noMultiLvlLbl val="0"/>
      </c:catAx>
      <c:valAx>
        <c:axId val="87260075"/>
        <c:scaling>
          <c:orientation val="minMax"/>
          <c:max val="28"/>
          <c:min val="1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맞은 개수 / 28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53194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고2 모의고사 · 총점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'고2 모의고사'!A6</c:f>
              <c:strCache>
                <c:ptCount val="1"/>
                <c:pt idx="0">
                  <c:v>김건희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모의고사'!$B$5:$E$5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모의고사'!$B$6:$E$6</c:f>
              <c:numCache>
                <c:formatCode>General</c:formatCode>
                <c:ptCount val="4"/>
                <c:pt idx="0">
                  <c:v>87</c:v>
                </c:pt>
                <c:pt idx="1">
                  <c:v>86</c:v>
                </c:pt>
                <c:pt idx="2">
                  <c:v>80</c:v>
                </c:pt>
                <c:pt idx="3">
                  <c:v>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'고2 모의고사'!A7</c:f>
              <c:strCache>
                <c:ptCount val="1"/>
                <c:pt idx="0">
                  <c:v>안도후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모의고사'!$B$5:$E$5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모의고사'!$B$7:$E$7</c:f>
              <c:numCache>
                <c:formatCode>General</c:formatCode>
                <c:ptCount val="4"/>
                <c:pt idx="0">
                  <c:v>82</c:v>
                </c:pt>
                <c:pt idx="1">
                  <c:v>77</c:v>
                </c:pt>
                <c:pt idx="2">
                  <c:v>79</c:v>
                </c:pt>
                <c:pt idx="3">
                  <c:v>80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'고2 모의고사'!A8</c:f>
              <c:strCache>
                <c:ptCount val="1"/>
                <c:pt idx="0">
                  <c:v>안동휘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모의고사'!$B$5:$E$5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모의고사'!$B$8:$E$8</c:f>
              <c:numCache>
                <c:formatCode>General</c:formatCode>
                <c:ptCount val="4"/>
                <c:pt idx="0">
                  <c:v>80</c:v>
                </c:pt>
                <c:pt idx="1">
                  <c:v>81</c:v>
                </c:pt>
                <c:pt idx="2">
                  <c:v>91</c:v>
                </c:pt>
                <c:pt idx="3">
                  <c:v>87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'고2 모의고사'!A9</c:f>
              <c:strCache>
                <c:ptCount val="1"/>
                <c:pt idx="0">
                  <c:v>나민하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모의고사'!$B$5:$E$5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모의고사'!$B$9:$E$9</c:f>
              <c:numCache>
                <c:formatCode>General</c:formatCode>
                <c:ptCount val="4"/>
                <c:pt idx="0">
                  <c:v>84</c:v>
                </c:pt>
                <c:pt idx="1">
                  <c:v>89</c:v>
                </c:pt>
                <c:pt idx="2">
                  <c:v>74</c:v>
                </c:pt>
                <c:pt idx="3">
                  <c:v>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926984"/>
        <c:axId val="27158910"/>
      </c:lineChart>
      <c:catAx>
        <c:axId val="9792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158910"/>
        <c:crosses val="autoZero"/>
        <c:auto val="1"/>
        <c:lblAlgn val="ctr"/>
        <c:lblOffset val="100"/>
        <c:noMultiLvlLbl val="0"/>
      </c:catAx>
      <c:valAx>
        <c:axId val="27158910"/>
        <c:scaling>
          <c:orientation val="minMax"/>
          <c:max val="100"/>
          <c:min val="4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점 / 100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926984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고2 모의고사 · 듣기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'고2 모의고사'!A14</c:f>
              <c:strCache>
                <c:ptCount val="1"/>
                <c:pt idx="0">
                  <c:v>김건희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모의고사'!$B$13:$E$13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모의고사'!$B$14:$E$14</c:f>
              <c:numCache>
                <c:formatCode>General</c:formatCode>
                <c:ptCount val="4"/>
                <c:pt idx="0">
                  <c:v>17</c:v>
                </c:pt>
                <c:pt idx="1">
                  <c:v>16</c:v>
                </c:pt>
                <c:pt idx="2">
                  <c:v>16</c:v>
                </c:pt>
                <c:pt idx="3">
                  <c:v>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'고2 모의고사'!A15</c:f>
              <c:strCache>
                <c:ptCount val="1"/>
                <c:pt idx="0">
                  <c:v>안도후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모의고사'!$B$13:$E$13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모의고사'!$B$15:$E$15</c:f>
              <c:numCache>
                <c:formatCode>General</c:formatCode>
                <c:ptCount val="4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'고2 모의고사'!A16</c:f>
              <c:strCache>
                <c:ptCount val="1"/>
                <c:pt idx="0">
                  <c:v>안동휘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모의고사'!$B$13:$E$13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모의고사'!$B$16:$E$16</c:f>
              <c:numCache>
                <c:formatCode>General</c:formatCode>
                <c:ptCount val="4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'고2 모의고사'!A17</c:f>
              <c:strCache>
                <c:ptCount val="1"/>
                <c:pt idx="0">
                  <c:v>나민하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모의고사'!$B$13:$E$13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모의고사'!$B$17:$E$17</c:f>
              <c:numCache>
                <c:formatCode>General</c:formatCode>
                <c:ptCount val="4"/>
                <c:pt idx="0">
                  <c:v>16</c:v>
                </c:pt>
                <c:pt idx="1">
                  <c:v>17</c:v>
                </c:pt>
                <c:pt idx="2">
                  <c:v>14</c:v>
                </c:pt>
                <c:pt idx="3">
                  <c:v>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6524398"/>
        <c:axId val="56673355"/>
      </c:lineChart>
      <c:catAx>
        <c:axId val="765243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73355"/>
        <c:crosses val="autoZero"/>
        <c:auto val="1"/>
        <c:lblAlgn val="ctr"/>
        <c:lblOffset val="100"/>
        <c:noMultiLvlLbl val="0"/>
      </c:catAx>
      <c:valAx>
        <c:axId val="56673355"/>
        <c:scaling>
          <c:orientation val="minMax"/>
          <c:max val="17"/>
          <c:min val="1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맞은 개수 / 17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24398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고2 모의고사 · 독해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'고2 모의고사'!A22</c:f>
              <c:strCache>
                <c:ptCount val="1"/>
                <c:pt idx="0">
                  <c:v>김건희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모의고사'!$B$21:$E$21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모의고사'!$B$22:$E$22</c:f>
              <c:numCache>
                <c:formatCode>General</c:formatCode>
                <c:ptCount val="4"/>
                <c:pt idx="0">
                  <c:v>23</c:v>
                </c:pt>
                <c:pt idx="1">
                  <c:v>23</c:v>
                </c:pt>
                <c:pt idx="2">
                  <c:v>20</c:v>
                </c:pt>
                <c:pt idx="3">
                  <c:v>21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'고2 모의고사'!A23</c:f>
              <c:strCache>
                <c:ptCount val="1"/>
                <c:pt idx="0">
                  <c:v>안도후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모의고사'!$B$21:$E$21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모의고사'!$B$23:$E$23</c:f>
              <c:numCache>
                <c:formatCode>General</c:formatCode>
                <c:ptCount val="4"/>
                <c:pt idx="0">
                  <c:v>21</c:v>
                </c:pt>
                <c:pt idx="1">
                  <c:v>19</c:v>
                </c:pt>
                <c:pt idx="2">
                  <c:v>19</c:v>
                </c:pt>
                <c:pt idx="3">
                  <c:v>20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'고2 모의고사'!A24</c:f>
              <c:strCache>
                <c:ptCount val="1"/>
                <c:pt idx="0">
                  <c:v>안동휘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모의고사'!$B$21:$E$21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모의고사'!$B$24:$E$24</c:f>
              <c:numCache>
                <c:formatCode>General</c:formatCode>
                <c:ptCount val="4"/>
                <c:pt idx="0">
                  <c:v>20</c:v>
                </c:pt>
                <c:pt idx="1">
                  <c:v>20</c:v>
                </c:pt>
                <c:pt idx="2">
                  <c:v>24</c:v>
                </c:pt>
                <c:pt idx="3">
                  <c:v>23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'고2 모의고사'!A25</c:f>
              <c:strCache>
                <c:ptCount val="1"/>
                <c:pt idx="0">
                  <c:v>나민하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모의고사'!$B$21:$E$21</c:f>
              <c:strCache>
                <c:ptCount val="4"/>
                <c:pt idx="0">
                  <c:v>중2 3차
고2 모의고사</c:v>
                </c:pt>
                <c:pt idx="1">
                  <c:v>중2 4차
고2 모의고사</c:v>
                </c:pt>
                <c:pt idx="2">
                  <c:v>중3 1차
고2 모의고사</c:v>
                </c:pt>
                <c:pt idx="3">
                  <c:v>중3 2차
고2 모의고사</c:v>
                </c:pt>
              </c:strCache>
            </c:strRef>
          </c:cat>
          <c:val>
            <c:numRef>
              <c:f>'고2 모의고사'!$B$25:$E$25</c:f>
              <c:numCache>
                <c:formatCode>General</c:formatCode>
                <c:ptCount val="4"/>
                <c:pt idx="0">
                  <c:v>23</c:v>
                </c:pt>
                <c:pt idx="1">
                  <c:v>24</c:v>
                </c:pt>
                <c:pt idx="2">
                  <c:v>20</c:v>
                </c:pt>
                <c:pt idx="3">
                  <c:v>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0067446"/>
        <c:axId val="7057206"/>
      </c:lineChart>
      <c:catAx>
        <c:axId val="300674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7206"/>
        <c:crosses val="autoZero"/>
        <c:auto val="1"/>
        <c:lblAlgn val="ctr"/>
        <c:lblOffset val="100"/>
        <c:noMultiLvlLbl val="0"/>
      </c:catAx>
      <c:valAx>
        <c:axId val="7057206"/>
        <c:scaling>
          <c:orientation val="minMax"/>
          <c:max val="28"/>
          <c:min val="1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맞은 개수 / 28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067446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고3 모의고사·수능 · 총점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'고3 모의고사_수능'!A6</c:f>
              <c:strCache>
                <c:ptCount val="1"/>
                <c:pt idx="0">
                  <c:v>김건희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모의고사_수능'!$B$5:$C$5</c:f>
              <c:strCache>
                <c:ptCount val="2"/>
                <c:pt idx="0">
                  <c:v>중3 3차
고3 모의고사</c:v>
                </c:pt>
                <c:pt idx="1">
                  <c:v>중3 4차
수능</c:v>
                </c:pt>
              </c:strCache>
            </c:strRef>
          </c:cat>
          <c:val>
            <c:numRef>
              <c:f>'고3 모의고사_수능'!$B$6:$C$6</c:f>
              <c:numCache>
                <c:formatCode>General</c:formatCode>
                <c:ptCount val="2"/>
                <c:pt idx="0">
                  <c:v>86</c:v>
                </c:pt>
                <c:pt idx="1">
                  <c:v>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'고3 모의고사_수능'!A7</c:f>
              <c:strCache>
                <c:ptCount val="1"/>
                <c:pt idx="0">
                  <c:v>안도후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모의고사_수능'!$B$5:$C$5</c:f>
              <c:strCache>
                <c:ptCount val="2"/>
                <c:pt idx="0">
                  <c:v>중3 3차
고3 모의고사</c:v>
                </c:pt>
                <c:pt idx="1">
                  <c:v>중3 4차
수능</c:v>
                </c:pt>
              </c:strCache>
            </c:strRef>
          </c:cat>
          <c:val>
            <c:numRef>
              <c:f>'고3 모의고사_수능'!$B$7:$C$7</c:f>
              <c:numCache>
                <c:formatCode>General</c:formatCode>
                <c:ptCount val="2"/>
                <c:pt idx="0">
                  <c:v>88</c:v>
                </c:pt>
                <c:pt idx="1">
                  <c:v>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'고3 모의고사_수능'!A8</c:f>
              <c:strCache>
                <c:ptCount val="1"/>
                <c:pt idx="0">
                  <c:v>안동휘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모의고사_수능'!$B$5:$C$5</c:f>
              <c:strCache>
                <c:ptCount val="2"/>
                <c:pt idx="0">
                  <c:v>중3 3차
고3 모의고사</c:v>
                </c:pt>
                <c:pt idx="1">
                  <c:v>중3 4차
수능</c:v>
                </c:pt>
              </c:strCache>
            </c:strRef>
          </c:cat>
          <c:val>
            <c:numRef>
              <c:f>'고3 모의고사_수능'!$B$8:$C$8</c:f>
              <c:numCache>
                <c:formatCode>General</c:formatCode>
                <c:ptCount val="2"/>
                <c:pt idx="0">
                  <c:v>93</c:v>
                </c:pt>
                <c:pt idx="1">
                  <c:v>87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'고3 모의고사_수능'!A9</c:f>
              <c:strCache>
                <c:ptCount val="1"/>
                <c:pt idx="0">
                  <c:v>나민하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모의고사_수능'!$B$5:$C$5</c:f>
              <c:strCache>
                <c:ptCount val="2"/>
                <c:pt idx="0">
                  <c:v>중3 3차
고3 모의고사</c:v>
                </c:pt>
                <c:pt idx="1">
                  <c:v>중3 4차
수능</c:v>
                </c:pt>
              </c:strCache>
            </c:strRef>
          </c:cat>
          <c:val>
            <c:numRef>
              <c:f>'고3 모의고사_수능'!$B$9:$C$9</c:f>
              <c:numCache>
                <c:formatCode>General</c:formatCode>
                <c:ptCount val="2"/>
                <c:pt idx="0">
                  <c:v>74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3542463"/>
        <c:axId val="58294280"/>
      </c:lineChart>
      <c:catAx>
        <c:axId val="5354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94280"/>
        <c:crosses val="autoZero"/>
        <c:auto val="1"/>
        <c:lblAlgn val="ctr"/>
        <c:lblOffset val="100"/>
        <c:noMultiLvlLbl val="0"/>
      </c:catAx>
      <c:valAx>
        <c:axId val="58294280"/>
        <c:scaling>
          <c:orientation val="minMax"/>
          <c:max val="100"/>
          <c:min val="4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점 / 100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42463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고3 모의고사·수능 · 듣기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'고3 모의고사_수능'!A14</c:f>
              <c:strCache>
                <c:ptCount val="1"/>
                <c:pt idx="0">
                  <c:v>김건희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모의고사_수능'!$B$13:$C$13</c:f>
              <c:strCache>
                <c:ptCount val="2"/>
                <c:pt idx="0">
                  <c:v>중3 3차
고3 모의고사</c:v>
                </c:pt>
                <c:pt idx="1">
                  <c:v>중3 4차
수능</c:v>
                </c:pt>
              </c:strCache>
            </c:strRef>
          </c:cat>
          <c:val>
            <c:numRef>
              <c:f>'고3 모의고사_수능'!$B$14:$C$14</c:f>
              <c:numCache>
                <c:formatCode>General</c:formatCode>
                <c:ptCount val="2"/>
                <c:pt idx="0">
                  <c:v>17</c:v>
                </c:pt>
                <c:pt idx="1">
                  <c:v>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'고3 모의고사_수능'!A15</c:f>
              <c:strCache>
                <c:ptCount val="1"/>
                <c:pt idx="0">
                  <c:v>안도후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모의고사_수능'!$B$13:$C$13</c:f>
              <c:strCache>
                <c:ptCount val="2"/>
                <c:pt idx="0">
                  <c:v>중3 3차
고3 모의고사</c:v>
                </c:pt>
                <c:pt idx="1">
                  <c:v>중3 4차
수능</c:v>
                </c:pt>
              </c:strCache>
            </c:strRef>
          </c:cat>
          <c:val>
            <c:numRef>
              <c:f>'고3 모의고사_수능'!$B$15:$C$15</c:f>
              <c:numCache>
                <c:formatCode>General</c:formatCode>
                <c:ptCount val="2"/>
                <c:pt idx="0">
                  <c:v>17</c:v>
                </c:pt>
                <c:pt idx="1">
                  <c:v>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'고3 모의고사_수능'!A16</c:f>
              <c:strCache>
                <c:ptCount val="1"/>
                <c:pt idx="0">
                  <c:v>안동휘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모의고사_수능'!$B$13:$C$13</c:f>
              <c:strCache>
                <c:ptCount val="2"/>
                <c:pt idx="0">
                  <c:v>중3 3차
고3 모의고사</c:v>
                </c:pt>
                <c:pt idx="1">
                  <c:v>중3 4차
수능</c:v>
                </c:pt>
              </c:strCache>
            </c:strRef>
          </c:cat>
          <c:val>
            <c:numRef>
              <c:f>'고3 모의고사_수능'!$B$16:$C$16</c:f>
              <c:numCache>
                <c:formatCode>General</c:formatCode>
                <c:ptCount val="2"/>
                <c:pt idx="0">
                  <c:v>17</c:v>
                </c:pt>
                <c:pt idx="1">
                  <c:v>17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'고3 모의고사_수능'!A17</c:f>
              <c:strCache>
                <c:ptCount val="1"/>
                <c:pt idx="0">
                  <c:v>나민하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모의고사_수능'!$B$13:$C$13</c:f>
              <c:strCache>
                <c:ptCount val="2"/>
                <c:pt idx="0">
                  <c:v>중3 3차
고3 모의고사</c:v>
                </c:pt>
                <c:pt idx="1">
                  <c:v>중3 4차
수능</c:v>
                </c:pt>
              </c:strCache>
            </c:strRef>
          </c:cat>
          <c:val>
            <c:numRef>
              <c:f>'고3 모의고사_수능'!$B$17:$C$17</c:f>
              <c:numCache>
                <c:formatCode>General</c:formatCode>
                <c:ptCount val="2"/>
                <c:pt idx="0">
                  <c:v>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2830186"/>
        <c:axId val="29459036"/>
      </c:lineChart>
      <c:catAx>
        <c:axId val="228301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59036"/>
        <c:crosses val="autoZero"/>
        <c:auto val="1"/>
        <c:lblAlgn val="ctr"/>
        <c:lblOffset val="100"/>
        <c:noMultiLvlLbl val="0"/>
      </c:catAx>
      <c:valAx>
        <c:axId val="29459036"/>
        <c:scaling>
          <c:orientation val="minMax"/>
          <c:max val="17"/>
          <c:min val="1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맞은 개수 / 17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30186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고3 모의고사·수능 · 독해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'고3 모의고사_수능'!A22</c:f>
              <c:strCache>
                <c:ptCount val="1"/>
                <c:pt idx="0">
                  <c:v>김건희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모의고사_수능'!$B$21:$C$21</c:f>
              <c:strCache>
                <c:ptCount val="2"/>
                <c:pt idx="0">
                  <c:v>중3 3차
고3 모의고사</c:v>
                </c:pt>
                <c:pt idx="1">
                  <c:v>중3 4차
수능</c:v>
                </c:pt>
              </c:strCache>
            </c:strRef>
          </c:cat>
          <c:val>
            <c:numRef>
              <c:f>'고3 모의고사_수능'!$B$22:$C$22</c:f>
              <c:numCache>
                <c:formatCode>General</c:formatCode>
                <c:ptCount val="2"/>
                <c:pt idx="0">
                  <c:v>23</c:v>
                </c:pt>
                <c:pt idx="1">
                  <c:v>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'고3 모의고사_수능'!A23</c:f>
              <c:strCache>
                <c:ptCount val="1"/>
                <c:pt idx="0">
                  <c:v>안도후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7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모의고사_수능'!$B$21:$C$21</c:f>
              <c:strCache>
                <c:ptCount val="2"/>
                <c:pt idx="0">
                  <c:v>중3 3차
고3 모의고사</c:v>
                </c:pt>
                <c:pt idx="1">
                  <c:v>중3 4차
수능</c:v>
                </c:pt>
              </c:strCache>
            </c:strRef>
          </c:cat>
          <c:val>
            <c:numRef>
              <c:f>'고3 모의고사_수능'!$B$23:$C$23</c:f>
              <c:numCache>
                <c:formatCode>General</c:formatCode>
                <c:ptCount val="2"/>
                <c:pt idx="0">
                  <c:v>23</c:v>
                </c:pt>
                <c:pt idx="1">
                  <c:v>23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'고3 모의고사_수능'!A24</c:f>
              <c:strCache>
                <c:ptCount val="1"/>
                <c:pt idx="0">
                  <c:v>안동휘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7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모의고사_수능'!$B$21:$C$21</c:f>
              <c:strCache>
                <c:ptCount val="2"/>
                <c:pt idx="0">
                  <c:v>중3 3차
고3 모의고사</c:v>
                </c:pt>
                <c:pt idx="1">
                  <c:v>중3 4차
수능</c:v>
                </c:pt>
              </c:strCache>
            </c:strRef>
          </c:cat>
          <c:val>
            <c:numRef>
              <c:f>'고3 모의고사_수능'!$B$24:$C$24</c:f>
              <c:numCache>
                <c:formatCode>General</c:formatCode>
                <c:ptCount val="2"/>
                <c:pt idx="0">
                  <c:v>25</c:v>
                </c:pt>
                <c:pt idx="1">
                  <c:v>23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'고3 모의고사_수능'!A25</c:f>
              <c:strCache>
                <c:ptCount val="1"/>
                <c:pt idx="0">
                  <c:v>나민하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7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모의고사_수능'!$B$21:$C$21</c:f>
              <c:strCache>
                <c:ptCount val="2"/>
                <c:pt idx="0">
                  <c:v>중3 3차
고3 모의고사</c:v>
                </c:pt>
                <c:pt idx="1">
                  <c:v>중3 4차
수능</c:v>
                </c:pt>
              </c:strCache>
            </c:strRef>
          </c:cat>
          <c:val>
            <c:numRef>
              <c:f>'고3 모의고사_수능'!$B$25:$C$25</c:f>
              <c:numCache>
                <c:formatCode>General</c:formatCode>
                <c:ptCount val="2"/>
                <c:pt idx="0">
                  <c:v>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5256975"/>
        <c:axId val="7243007"/>
      </c:lineChart>
      <c:catAx>
        <c:axId val="3525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3007"/>
        <c:crosses val="autoZero"/>
        <c:auto val="1"/>
        <c:lblAlgn val="ctr"/>
        <c:lblOffset val="100"/>
        <c:noMultiLvlLbl val="0"/>
      </c:catAx>
      <c:valAx>
        <c:axId val="7243007"/>
        <c:scaling>
          <c:orientation val="minMax"/>
          <c:max val="28"/>
          <c:min val="1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맞은 개수 / 28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56975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134640</xdr:rowOff>
    </xdr:from>
    <xdr:to>
      <xdr:col>21</xdr:col>
      <xdr:colOff>255960</xdr:colOff>
      <xdr:row>14</xdr:row>
      <xdr:rowOff>72360</xdr:rowOff>
    </xdr:to>
    <xdr:graphicFrame>
      <xdr:nvGraphicFramePr>
        <xdr:cNvPr id="0" name="Chart 1"/>
        <xdr:cNvGraphicFramePr/>
      </xdr:nvGraphicFramePr>
      <xdr:xfrm>
        <a:off x="1019736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18</xdr:row>
      <xdr:rowOff>134640</xdr:rowOff>
    </xdr:from>
    <xdr:to>
      <xdr:col>21</xdr:col>
      <xdr:colOff>255960</xdr:colOff>
      <xdr:row>31</xdr:row>
      <xdr:rowOff>119520</xdr:rowOff>
    </xdr:to>
    <xdr:graphicFrame>
      <xdr:nvGraphicFramePr>
        <xdr:cNvPr id="1" name="Chart 2"/>
        <xdr:cNvGraphicFramePr/>
      </xdr:nvGraphicFramePr>
      <xdr:xfrm>
        <a:off x="10197360" y="40957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34</xdr:row>
      <xdr:rowOff>134640</xdr:rowOff>
    </xdr:from>
    <xdr:to>
      <xdr:col>21</xdr:col>
      <xdr:colOff>255960</xdr:colOff>
      <xdr:row>48</xdr:row>
      <xdr:rowOff>167040</xdr:rowOff>
    </xdr:to>
    <xdr:graphicFrame>
      <xdr:nvGraphicFramePr>
        <xdr:cNvPr id="2" name="Chart 3"/>
        <xdr:cNvGraphicFramePr/>
      </xdr:nvGraphicFramePr>
      <xdr:xfrm>
        <a:off x="10197360" y="73818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134640</xdr:rowOff>
    </xdr:from>
    <xdr:to>
      <xdr:col>18</xdr:col>
      <xdr:colOff>256320</xdr:colOff>
      <xdr:row>14</xdr:row>
      <xdr:rowOff>72360</xdr:rowOff>
    </xdr:to>
    <xdr:graphicFrame>
      <xdr:nvGraphicFramePr>
        <xdr:cNvPr id="3" name="Chart 1"/>
        <xdr:cNvGraphicFramePr/>
      </xdr:nvGraphicFramePr>
      <xdr:xfrm>
        <a:off x="766008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134640</xdr:rowOff>
    </xdr:from>
    <xdr:to>
      <xdr:col>18</xdr:col>
      <xdr:colOff>256320</xdr:colOff>
      <xdr:row>31</xdr:row>
      <xdr:rowOff>119520</xdr:rowOff>
    </xdr:to>
    <xdr:graphicFrame>
      <xdr:nvGraphicFramePr>
        <xdr:cNvPr id="4" name="Chart 2"/>
        <xdr:cNvGraphicFramePr/>
      </xdr:nvGraphicFramePr>
      <xdr:xfrm>
        <a:off x="7660080" y="40957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34</xdr:row>
      <xdr:rowOff>134640</xdr:rowOff>
    </xdr:from>
    <xdr:to>
      <xdr:col>18</xdr:col>
      <xdr:colOff>256320</xdr:colOff>
      <xdr:row>48</xdr:row>
      <xdr:rowOff>167040</xdr:rowOff>
    </xdr:to>
    <xdr:graphicFrame>
      <xdr:nvGraphicFramePr>
        <xdr:cNvPr id="5" name="Chart 3"/>
        <xdr:cNvGraphicFramePr/>
      </xdr:nvGraphicFramePr>
      <xdr:xfrm>
        <a:off x="7660080" y="73818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134640</xdr:rowOff>
    </xdr:from>
    <xdr:to>
      <xdr:col>16</xdr:col>
      <xdr:colOff>256320</xdr:colOff>
      <xdr:row>14</xdr:row>
      <xdr:rowOff>72360</xdr:rowOff>
    </xdr:to>
    <xdr:graphicFrame>
      <xdr:nvGraphicFramePr>
        <xdr:cNvPr id="6" name="Chart 1"/>
        <xdr:cNvGraphicFramePr/>
      </xdr:nvGraphicFramePr>
      <xdr:xfrm>
        <a:off x="596844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134640</xdr:rowOff>
    </xdr:from>
    <xdr:to>
      <xdr:col>16</xdr:col>
      <xdr:colOff>256320</xdr:colOff>
      <xdr:row>31</xdr:row>
      <xdr:rowOff>119520</xdr:rowOff>
    </xdr:to>
    <xdr:graphicFrame>
      <xdr:nvGraphicFramePr>
        <xdr:cNvPr id="7" name="Chart 2"/>
        <xdr:cNvGraphicFramePr/>
      </xdr:nvGraphicFramePr>
      <xdr:xfrm>
        <a:off x="5968440" y="40957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34</xdr:row>
      <xdr:rowOff>134640</xdr:rowOff>
    </xdr:from>
    <xdr:to>
      <xdr:col>16</xdr:col>
      <xdr:colOff>256320</xdr:colOff>
      <xdr:row>48</xdr:row>
      <xdr:rowOff>167040</xdr:rowOff>
    </xdr:to>
    <xdr:graphicFrame>
      <xdr:nvGraphicFramePr>
        <xdr:cNvPr id="8" name="Chart 3"/>
        <xdr:cNvGraphicFramePr/>
      </xdr:nvGraphicFramePr>
      <xdr:xfrm>
        <a:off x="5968440" y="73818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4" hidden="false" customHeight="false" outlineLevel="0" collapsed="false">
      <c r="A1" s="1" t="s">
        <v>0</v>
      </c>
    </row>
    <row r="2" customFormat="false" ht="13.4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4.9" hidden="false" customHeight="false" outlineLevel="0" collapsed="false">
      <c r="A5" s="3" t="s">
        <v>3</v>
      </c>
    </row>
    <row r="6" customFormat="false" ht="14.9" hidden="false" customHeight="false" outlineLevel="0" collapsed="false">
      <c r="A6" s="3" t="s">
        <v>4</v>
      </c>
    </row>
    <row r="7" customFormat="false" ht="14.9" hidden="false" customHeight="false" outlineLevel="0" collapsed="false">
      <c r="A7" s="3" t="s">
        <v>5</v>
      </c>
    </row>
    <row r="8" customFormat="false" ht="14.9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7</v>
      </c>
    </row>
    <row r="11" customFormat="false" ht="14.9" hidden="false" customHeight="false" outlineLevel="0" collapsed="false">
      <c r="A11" s="3" t="s">
        <v>8</v>
      </c>
    </row>
    <row r="12" customFormat="false" ht="14.9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4.9" hidden="false" customHeight="false" outlineLevel="0" collapsed="false">
      <c r="A15" s="3" t="s">
        <v>11</v>
      </c>
    </row>
    <row r="16" customFormat="false" ht="14.9" hidden="false" customHeight="false" outlineLevel="0" collapsed="false">
      <c r="A16" s="3" t="s">
        <v>12</v>
      </c>
    </row>
    <row r="17" customFormat="false" ht="14.9" hidden="false" customHeight="fals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9.4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28.35" hidden="false" customHeight="fals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</row>
    <row r="5" customFormat="false" ht="15" hidden="false" customHeight="false" outlineLevel="0" collapsed="false">
      <c r="A5" s="6" t="s">
        <v>21</v>
      </c>
      <c r="B5" s="7" t="s">
        <v>22</v>
      </c>
      <c r="C5" s="8" t="n">
        <f aca="false">'고1 모의고사'!I10</f>
        <v>62.75</v>
      </c>
      <c r="D5" s="8" t="n">
        <f aca="false">'고1 모의고사'!J10</f>
        <v>91.25</v>
      </c>
      <c r="E5" s="9" t="n">
        <f aca="false">D5-C5</f>
        <v>28.5</v>
      </c>
    </row>
    <row r="6" customFormat="false" ht="15" hidden="false" customHeight="false" outlineLevel="0" collapsed="false">
      <c r="A6" s="6" t="s">
        <v>21</v>
      </c>
      <c r="B6" s="7" t="s">
        <v>23</v>
      </c>
      <c r="C6" s="8" t="n">
        <f aca="false">'고1 모의고사'!I18</f>
        <v>16</v>
      </c>
      <c r="D6" s="8" t="n">
        <f aca="false">'고1 모의고사'!J18</f>
        <v>16.75</v>
      </c>
      <c r="E6" s="9" t="n">
        <f aca="false">D6-C6</f>
        <v>0.75</v>
      </c>
    </row>
    <row r="7" customFormat="false" ht="15" hidden="false" customHeight="false" outlineLevel="0" collapsed="false">
      <c r="A7" s="6" t="s">
        <v>21</v>
      </c>
      <c r="B7" s="7" t="s">
        <v>24</v>
      </c>
      <c r="C7" s="8" t="n">
        <f aca="false">'고1 모의고사'!I26</f>
        <v>17.5</v>
      </c>
      <c r="D7" s="8" t="n">
        <f aca="false">'고1 모의고사'!J26</f>
        <v>24.5</v>
      </c>
      <c r="E7" s="9" t="n">
        <f aca="false">D7-C7</f>
        <v>7</v>
      </c>
    </row>
    <row r="8" customFormat="false" ht="15" hidden="false" customHeight="false" outlineLevel="0" collapsed="false">
      <c r="A8" s="6" t="s">
        <v>25</v>
      </c>
      <c r="B8" s="7" t="s">
        <v>22</v>
      </c>
      <c r="C8" s="8" t="n">
        <f aca="false">'고2 모의고사'!F10</f>
        <v>83.25</v>
      </c>
      <c r="D8" s="8" t="n">
        <f aca="false">'고2 모의고사'!G10</f>
        <v>84.25</v>
      </c>
      <c r="E8" s="9" t="n">
        <f aca="false">D8-C8</f>
        <v>1</v>
      </c>
    </row>
    <row r="9" customFormat="false" ht="15" hidden="false" customHeight="false" outlineLevel="0" collapsed="false">
      <c r="A9" s="6" t="s">
        <v>25</v>
      </c>
      <c r="B9" s="7" t="s">
        <v>23</v>
      </c>
      <c r="C9" s="8" t="n">
        <f aca="false">'고2 모의고사'!F18</f>
        <v>16.75</v>
      </c>
      <c r="D9" s="8" t="n">
        <f aca="false">'고2 모의고사'!G18</f>
        <v>16.75</v>
      </c>
      <c r="E9" s="9" t="n">
        <f aca="false">D9-C9</f>
        <v>0</v>
      </c>
    </row>
    <row r="10" customFormat="false" ht="15" hidden="false" customHeight="false" outlineLevel="0" collapsed="false">
      <c r="A10" s="6" t="s">
        <v>25</v>
      </c>
      <c r="B10" s="7" t="s">
        <v>24</v>
      </c>
      <c r="C10" s="8" t="n">
        <f aca="false">'고2 모의고사'!F26</f>
        <v>21.75</v>
      </c>
      <c r="D10" s="8" t="n">
        <f aca="false">'고2 모의고사'!G26</f>
        <v>21.75</v>
      </c>
      <c r="E10" s="9" t="n">
        <f aca="false">D10-C10</f>
        <v>0</v>
      </c>
    </row>
    <row r="11" customFormat="false" ht="15" hidden="false" customHeight="false" outlineLevel="0" collapsed="false">
      <c r="A11" s="6" t="s">
        <v>26</v>
      </c>
      <c r="B11" s="7" t="s">
        <v>22</v>
      </c>
      <c r="C11" s="8" t="n">
        <f aca="false">'고3 모의고사_수능'!D10</f>
        <v>85.25</v>
      </c>
      <c r="D11" s="8" t="n">
        <f aca="false">'고3 모의고사_수능'!E10</f>
        <v>87.6666666666667</v>
      </c>
      <c r="E11" s="9" t="n">
        <f aca="false">D11-C11</f>
        <v>2.41666666666667</v>
      </c>
    </row>
    <row r="12" customFormat="false" ht="15" hidden="false" customHeight="false" outlineLevel="0" collapsed="false">
      <c r="A12" s="6" t="s">
        <v>26</v>
      </c>
      <c r="B12" s="7" t="s">
        <v>23</v>
      </c>
      <c r="C12" s="8" t="n">
        <f aca="false">'고3 모의고사_수능'!D18</f>
        <v>16.75</v>
      </c>
      <c r="D12" s="8" t="n">
        <f aca="false">'고3 모의고사_수능'!E18</f>
        <v>17</v>
      </c>
      <c r="E12" s="9" t="n">
        <f aca="false">D12-C12</f>
        <v>0.25</v>
      </c>
    </row>
    <row r="13" customFormat="false" ht="15" hidden="false" customHeight="false" outlineLevel="0" collapsed="false">
      <c r="A13" s="6" t="s">
        <v>26</v>
      </c>
      <c r="B13" s="7" t="s">
        <v>24</v>
      </c>
      <c r="C13" s="8" t="n">
        <f aca="false">'고3 모의고사_수능'!D26</f>
        <v>22.25</v>
      </c>
      <c r="D13" s="8" t="n">
        <f aca="false">'고3 모의고사_수능'!E26</f>
        <v>23</v>
      </c>
      <c r="E13" s="9" t="n">
        <f aca="false">D13-C13</f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1" min="2" style="0" width="12"/>
  </cols>
  <sheetData>
    <row r="1" customFormat="false" ht="19.4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15" hidden="false" customHeight="false" outlineLevel="0" collapsed="false">
      <c r="A4" s="4" t="s">
        <v>29</v>
      </c>
    </row>
    <row r="5" customFormat="false" ht="33.75" hidden="false" customHeight="true" outlineLevel="0" collapsed="false">
      <c r="A5" s="5" t="s">
        <v>30</v>
      </c>
      <c r="B5" s="5" t="s">
        <v>31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20</v>
      </c>
    </row>
    <row r="6" customFormat="false" ht="15" hidden="false" customHeight="false" outlineLevel="0" collapsed="false">
      <c r="A6" s="6" t="s">
        <v>40</v>
      </c>
      <c r="B6" s="10" t="n">
        <v>69</v>
      </c>
      <c r="C6" s="10" t="n">
        <v>75</v>
      </c>
      <c r="D6" s="10" t="n">
        <v>76</v>
      </c>
      <c r="E6" s="10" t="n">
        <v>90</v>
      </c>
      <c r="F6" s="10" t="n">
        <v>73</v>
      </c>
      <c r="G6" s="10" t="n">
        <v>82</v>
      </c>
      <c r="H6" s="10" t="n">
        <v>95</v>
      </c>
      <c r="I6" s="7" t="n">
        <f aca="false">B6</f>
        <v>69</v>
      </c>
      <c r="J6" s="7" t="n">
        <f aca="false">LOOKUP(9.99E+307,B6:H6)</f>
        <v>95</v>
      </c>
      <c r="K6" s="11" t="n">
        <f aca="false">J6-I6</f>
        <v>26</v>
      </c>
    </row>
    <row r="7" customFormat="false" ht="15" hidden="false" customHeight="false" outlineLevel="0" collapsed="false">
      <c r="A7" s="6" t="s">
        <v>41</v>
      </c>
      <c r="B7" s="10" t="n">
        <v>67</v>
      </c>
      <c r="C7" s="10" t="n">
        <v>66</v>
      </c>
      <c r="D7" s="10" t="n">
        <v>72</v>
      </c>
      <c r="E7" s="10" t="n">
        <v>81</v>
      </c>
      <c r="F7" s="10" t="n">
        <v>84</v>
      </c>
      <c r="G7" s="10" t="n">
        <v>83</v>
      </c>
      <c r="H7" s="10" t="n">
        <v>93</v>
      </c>
      <c r="I7" s="7" t="n">
        <f aca="false">B7</f>
        <v>67</v>
      </c>
      <c r="J7" s="7" t="n">
        <f aca="false">LOOKUP(9.99E+307,B7:H7)</f>
        <v>93</v>
      </c>
      <c r="K7" s="11" t="n">
        <f aca="false">J7-I7</f>
        <v>26</v>
      </c>
    </row>
    <row r="8" customFormat="false" ht="15" hidden="false" customHeight="false" outlineLevel="0" collapsed="false">
      <c r="A8" s="6" t="s">
        <v>42</v>
      </c>
      <c r="B8" s="10" t="n">
        <v>58</v>
      </c>
      <c r="C8" s="10" t="n">
        <v>73</v>
      </c>
      <c r="D8" s="10" t="n">
        <v>75</v>
      </c>
      <c r="E8" s="10" t="n">
        <v>78</v>
      </c>
      <c r="F8" s="10" t="n">
        <v>77</v>
      </c>
      <c r="G8" s="10" t="n">
        <v>77</v>
      </c>
      <c r="H8" s="10" t="n">
        <v>90</v>
      </c>
      <c r="I8" s="7" t="n">
        <f aca="false">B8</f>
        <v>58</v>
      </c>
      <c r="J8" s="7" t="n">
        <f aca="false">LOOKUP(9.99E+307,B8:H8)</f>
        <v>90</v>
      </c>
      <c r="K8" s="11" t="n">
        <f aca="false">J8-I8</f>
        <v>32</v>
      </c>
    </row>
    <row r="9" customFormat="false" ht="15" hidden="false" customHeight="false" outlineLevel="0" collapsed="false">
      <c r="A9" s="6" t="s">
        <v>43</v>
      </c>
      <c r="B9" s="10" t="n">
        <v>57</v>
      </c>
      <c r="C9" s="10" t="n">
        <v>79</v>
      </c>
      <c r="D9" s="10" t="n">
        <v>76</v>
      </c>
      <c r="E9" s="10" t="n">
        <v>71</v>
      </c>
      <c r="F9" s="10" t="n">
        <v>80</v>
      </c>
      <c r="G9" s="10" t="n">
        <v>74</v>
      </c>
      <c r="H9" s="10" t="n">
        <v>87</v>
      </c>
      <c r="I9" s="7" t="n">
        <f aca="false">B9</f>
        <v>57</v>
      </c>
      <c r="J9" s="7" t="n">
        <f aca="false">LOOKUP(9.99E+307,B9:H9)</f>
        <v>87</v>
      </c>
      <c r="K9" s="11" t="n">
        <f aca="false">J9-I9</f>
        <v>30</v>
      </c>
    </row>
    <row r="10" customFormat="false" ht="15" hidden="false" customHeight="false" outlineLevel="0" collapsed="false">
      <c r="A10" s="12" t="s">
        <v>44</v>
      </c>
      <c r="B10" s="13" t="n">
        <f aca="false">IF(COUNT(B6:B9)=0,"",AVERAGE(B6:B9))</f>
        <v>62.75</v>
      </c>
      <c r="C10" s="13" t="n">
        <f aca="false">IF(COUNT(C6:C9)=0,"",AVERAGE(C6:C9))</f>
        <v>73.25</v>
      </c>
      <c r="D10" s="13" t="n">
        <f aca="false">IF(COUNT(D6:D9)=0,"",AVERAGE(D6:D9))</f>
        <v>74.75</v>
      </c>
      <c r="E10" s="13" t="n">
        <f aca="false">IF(COUNT(E6:E9)=0,"",AVERAGE(E6:E9))</f>
        <v>80</v>
      </c>
      <c r="F10" s="13" t="n">
        <f aca="false">IF(COUNT(F6:F9)=0,"",AVERAGE(F6:F9))</f>
        <v>78.5</v>
      </c>
      <c r="G10" s="13" t="n">
        <f aca="false">IF(COUNT(G6:G9)=0,"",AVERAGE(G6:G9))</f>
        <v>79</v>
      </c>
      <c r="H10" s="13" t="n">
        <f aca="false">IF(COUNT(H6:H9)=0,"",AVERAGE(H6:H9))</f>
        <v>91.25</v>
      </c>
      <c r="I10" s="13" t="n">
        <f aca="false">B10</f>
        <v>62.75</v>
      </c>
      <c r="J10" s="13" t="n">
        <f aca="false">LOOKUP(9.99E+307,B10:H10)</f>
        <v>91.25</v>
      </c>
      <c r="K10" s="14" t="n">
        <f aca="false">J10-I10</f>
        <v>28.5</v>
      </c>
    </row>
    <row r="12" customFormat="false" ht="15" hidden="false" customHeight="false" outlineLevel="0" collapsed="false">
      <c r="A12" s="4" t="s">
        <v>45</v>
      </c>
    </row>
    <row r="13" customFormat="false" ht="33.75" hidden="false" customHeight="true" outlineLevel="0" collapsed="false">
      <c r="A13" s="5" t="s">
        <v>30</v>
      </c>
      <c r="B13" s="5" t="s">
        <v>31</v>
      </c>
      <c r="C13" s="5" t="s">
        <v>32</v>
      </c>
      <c r="D13" s="5" t="s">
        <v>33</v>
      </c>
      <c r="E13" s="5" t="s">
        <v>34</v>
      </c>
      <c r="F13" s="5" t="s">
        <v>35</v>
      </c>
      <c r="G13" s="5" t="s">
        <v>36</v>
      </c>
      <c r="H13" s="5" t="s">
        <v>37</v>
      </c>
      <c r="I13" s="5" t="s">
        <v>38</v>
      </c>
      <c r="J13" s="5" t="s">
        <v>39</v>
      </c>
      <c r="K13" s="5" t="s">
        <v>20</v>
      </c>
    </row>
    <row r="14" customFormat="false" ht="15" hidden="false" customHeight="false" outlineLevel="0" collapsed="false">
      <c r="A14" s="6" t="s">
        <v>40</v>
      </c>
      <c r="B14" s="10"/>
      <c r="C14" s="10" t="n">
        <v>16</v>
      </c>
      <c r="D14" s="10" t="n">
        <v>17</v>
      </c>
      <c r="E14" s="10" t="n">
        <v>17</v>
      </c>
      <c r="F14" s="10" t="n">
        <v>16</v>
      </c>
      <c r="G14" s="10" t="n">
        <v>17</v>
      </c>
      <c r="H14" s="10" t="n">
        <v>17</v>
      </c>
      <c r="I14" s="7" t="n">
        <f aca="false">C14</f>
        <v>16</v>
      </c>
      <c r="J14" s="7" t="n">
        <f aca="false">LOOKUP(9.99E+307,B14:H14)</f>
        <v>17</v>
      </c>
      <c r="K14" s="11" t="n">
        <f aca="false">J14-I14</f>
        <v>1</v>
      </c>
    </row>
    <row r="15" customFormat="false" ht="15" hidden="false" customHeight="false" outlineLevel="0" collapsed="false">
      <c r="A15" s="6" t="s">
        <v>41</v>
      </c>
      <c r="B15" s="10"/>
      <c r="C15" s="10" t="n">
        <v>15</v>
      </c>
      <c r="D15" s="10" t="n">
        <v>16</v>
      </c>
      <c r="E15" s="10" t="n">
        <v>17</v>
      </c>
      <c r="F15" s="10" t="n">
        <v>17</v>
      </c>
      <c r="G15" s="10" t="n">
        <v>17</v>
      </c>
      <c r="H15" s="10" t="n">
        <v>17</v>
      </c>
      <c r="I15" s="7" t="n">
        <f aca="false">C15</f>
        <v>15</v>
      </c>
      <c r="J15" s="7" t="n">
        <f aca="false">LOOKUP(9.99E+307,B15:H15)</f>
        <v>17</v>
      </c>
      <c r="K15" s="11" t="n">
        <f aca="false">J15-I15</f>
        <v>2</v>
      </c>
    </row>
    <row r="16" customFormat="false" ht="15" hidden="false" customHeight="false" outlineLevel="0" collapsed="false">
      <c r="A16" s="6" t="s">
        <v>42</v>
      </c>
      <c r="B16" s="10"/>
      <c r="C16" s="10" t="n">
        <v>17</v>
      </c>
      <c r="D16" s="10" t="n">
        <v>17</v>
      </c>
      <c r="E16" s="10" t="n">
        <v>17</v>
      </c>
      <c r="F16" s="10" t="n">
        <v>16</v>
      </c>
      <c r="G16" s="10" t="n">
        <v>17</v>
      </c>
      <c r="H16" s="10" t="n">
        <v>17</v>
      </c>
      <c r="I16" s="7" t="n">
        <f aca="false">C16</f>
        <v>17</v>
      </c>
      <c r="J16" s="7" t="n">
        <f aca="false">LOOKUP(9.99E+307,B16:H16)</f>
        <v>17</v>
      </c>
      <c r="K16" s="11" t="n">
        <f aca="false">J16-I16</f>
        <v>0</v>
      </c>
    </row>
    <row r="17" customFormat="false" ht="15" hidden="false" customHeight="false" outlineLevel="0" collapsed="false">
      <c r="A17" s="6" t="s">
        <v>43</v>
      </c>
      <c r="B17" s="10"/>
      <c r="C17" s="10" t="n">
        <v>16</v>
      </c>
      <c r="D17" s="10" t="n">
        <v>17</v>
      </c>
      <c r="E17" s="10" t="n">
        <v>15</v>
      </c>
      <c r="F17" s="10" t="n">
        <v>17</v>
      </c>
      <c r="G17" s="10" t="n">
        <v>16</v>
      </c>
      <c r="H17" s="10" t="n">
        <v>16</v>
      </c>
      <c r="I17" s="7" t="n">
        <f aca="false">C17</f>
        <v>16</v>
      </c>
      <c r="J17" s="7" t="n">
        <f aca="false">LOOKUP(9.99E+307,B17:H17)</f>
        <v>16</v>
      </c>
      <c r="K17" s="11" t="n">
        <f aca="false">J17-I17</f>
        <v>0</v>
      </c>
    </row>
    <row r="18" customFormat="false" ht="15" hidden="false" customHeight="false" outlineLevel="0" collapsed="false">
      <c r="A18" s="12" t="s">
        <v>44</v>
      </c>
      <c r="B18" s="13" t="str">
        <f aca="false">IF(COUNT(B14:B17)=0,"",AVERAGE(B14:B17))</f>
        <v/>
      </c>
      <c r="C18" s="13" t="n">
        <f aca="false">IF(COUNT(C14:C17)=0,"",AVERAGE(C14:C17))</f>
        <v>16</v>
      </c>
      <c r="D18" s="13" t="n">
        <f aca="false">IF(COUNT(D14:D17)=0,"",AVERAGE(D14:D17))</f>
        <v>16.75</v>
      </c>
      <c r="E18" s="13" t="n">
        <f aca="false">IF(COUNT(E14:E17)=0,"",AVERAGE(E14:E17))</f>
        <v>16.5</v>
      </c>
      <c r="F18" s="13" t="n">
        <f aca="false">IF(COUNT(F14:F17)=0,"",AVERAGE(F14:F17))</f>
        <v>16.5</v>
      </c>
      <c r="G18" s="13" t="n">
        <f aca="false">IF(COUNT(G14:G17)=0,"",AVERAGE(G14:G17))</f>
        <v>16.75</v>
      </c>
      <c r="H18" s="13" t="n">
        <f aca="false">IF(COUNT(H14:H17)=0,"",AVERAGE(H14:H17))</f>
        <v>16.75</v>
      </c>
      <c r="I18" s="13" t="n">
        <f aca="false">C18</f>
        <v>16</v>
      </c>
      <c r="J18" s="13" t="n">
        <f aca="false">LOOKUP(9.99E+307,B18:H18)</f>
        <v>16.75</v>
      </c>
      <c r="K18" s="14" t="n">
        <f aca="false">J18-I18</f>
        <v>0.75</v>
      </c>
    </row>
    <row r="20" customFormat="false" ht="15" hidden="false" customHeight="false" outlineLevel="0" collapsed="false">
      <c r="A20" s="4" t="s">
        <v>46</v>
      </c>
    </row>
    <row r="21" customFormat="false" ht="33.75" hidden="false" customHeight="true" outlineLevel="0" collapsed="false">
      <c r="A21" s="5" t="s">
        <v>30</v>
      </c>
      <c r="B21" s="5" t="s">
        <v>31</v>
      </c>
      <c r="C21" s="5" t="s">
        <v>32</v>
      </c>
      <c r="D21" s="5" t="s">
        <v>33</v>
      </c>
      <c r="E21" s="5" t="s">
        <v>34</v>
      </c>
      <c r="F21" s="5" t="s">
        <v>35</v>
      </c>
      <c r="G21" s="5" t="s">
        <v>36</v>
      </c>
      <c r="H21" s="5" t="s">
        <v>37</v>
      </c>
      <c r="I21" s="5" t="s">
        <v>38</v>
      </c>
      <c r="J21" s="5" t="s">
        <v>39</v>
      </c>
      <c r="K21" s="5" t="s">
        <v>20</v>
      </c>
    </row>
    <row r="22" customFormat="false" ht="15" hidden="false" customHeight="false" outlineLevel="0" collapsed="false">
      <c r="A22" s="6" t="s">
        <v>40</v>
      </c>
      <c r="B22" s="10"/>
      <c r="C22" s="10" t="n">
        <v>18</v>
      </c>
      <c r="D22" s="10" t="n">
        <v>19</v>
      </c>
      <c r="E22" s="10" t="n">
        <v>24</v>
      </c>
      <c r="F22" s="10" t="n">
        <v>18</v>
      </c>
      <c r="G22" s="10" t="n">
        <v>21</v>
      </c>
      <c r="H22" s="10" t="n">
        <v>26</v>
      </c>
      <c r="I22" s="7" t="n">
        <f aca="false">C22</f>
        <v>18</v>
      </c>
      <c r="J22" s="7" t="n">
        <f aca="false">LOOKUP(9.99E+307,B22:H22)</f>
        <v>26</v>
      </c>
      <c r="K22" s="11" t="n">
        <f aca="false">J22-I22</f>
        <v>8</v>
      </c>
    </row>
    <row r="23" customFormat="false" ht="15" hidden="false" customHeight="false" outlineLevel="0" collapsed="false">
      <c r="A23" s="6" t="s">
        <v>41</v>
      </c>
      <c r="B23" s="10"/>
      <c r="C23" s="10" t="n">
        <v>16</v>
      </c>
      <c r="D23" s="10" t="n">
        <v>18</v>
      </c>
      <c r="E23" s="10" t="n">
        <v>20</v>
      </c>
      <c r="F23" s="10" t="n">
        <v>21</v>
      </c>
      <c r="G23" s="10" t="n">
        <v>21</v>
      </c>
      <c r="H23" s="10" t="n">
        <v>25</v>
      </c>
      <c r="I23" s="7" t="n">
        <f aca="false">C23</f>
        <v>16</v>
      </c>
      <c r="J23" s="7" t="n">
        <f aca="false">LOOKUP(9.99E+307,B23:H23)</f>
        <v>25</v>
      </c>
      <c r="K23" s="11" t="n">
        <f aca="false">J23-I23</f>
        <v>9</v>
      </c>
    </row>
    <row r="24" customFormat="false" ht="15" hidden="false" customHeight="false" outlineLevel="0" collapsed="false">
      <c r="A24" s="6" t="s">
        <v>42</v>
      </c>
      <c r="B24" s="10"/>
      <c r="C24" s="10" t="n">
        <v>16</v>
      </c>
      <c r="D24" s="10" t="n">
        <v>18</v>
      </c>
      <c r="E24" s="10" t="n">
        <v>18</v>
      </c>
      <c r="F24" s="10" t="n">
        <v>19</v>
      </c>
      <c r="G24" s="10" t="n">
        <v>19</v>
      </c>
      <c r="H24" s="10" t="n">
        <v>24</v>
      </c>
      <c r="I24" s="7" t="n">
        <f aca="false">C24</f>
        <v>16</v>
      </c>
      <c r="J24" s="7" t="n">
        <f aca="false">LOOKUP(9.99E+307,B24:H24)</f>
        <v>24</v>
      </c>
      <c r="K24" s="11" t="n">
        <f aca="false">J24-I24</f>
        <v>8</v>
      </c>
    </row>
    <row r="25" customFormat="false" ht="15" hidden="false" customHeight="false" outlineLevel="0" collapsed="false">
      <c r="A25" s="6" t="s">
        <v>43</v>
      </c>
      <c r="B25" s="10"/>
      <c r="C25" s="10" t="n">
        <v>20</v>
      </c>
      <c r="D25" s="10" t="n">
        <v>18</v>
      </c>
      <c r="E25" s="10" t="n">
        <v>17</v>
      </c>
      <c r="F25" s="10" t="n">
        <v>19</v>
      </c>
      <c r="G25" s="10" t="n">
        <v>18</v>
      </c>
      <c r="H25" s="10" t="n">
        <v>23</v>
      </c>
      <c r="I25" s="7" t="n">
        <f aca="false">C25</f>
        <v>20</v>
      </c>
      <c r="J25" s="7" t="n">
        <f aca="false">LOOKUP(9.99E+307,B25:H25)</f>
        <v>23</v>
      </c>
      <c r="K25" s="11" t="n">
        <f aca="false">J25-I25</f>
        <v>3</v>
      </c>
    </row>
    <row r="26" customFormat="false" ht="15" hidden="false" customHeight="false" outlineLevel="0" collapsed="false">
      <c r="A26" s="12" t="s">
        <v>44</v>
      </c>
      <c r="B26" s="13" t="str">
        <f aca="false">IF(COUNT(B22:B25)=0,"",AVERAGE(B22:B25))</f>
        <v/>
      </c>
      <c r="C26" s="13" t="n">
        <f aca="false">IF(COUNT(C22:C25)=0,"",AVERAGE(C22:C25))</f>
        <v>17.5</v>
      </c>
      <c r="D26" s="13" t="n">
        <f aca="false">IF(COUNT(D22:D25)=0,"",AVERAGE(D22:D25))</f>
        <v>18.25</v>
      </c>
      <c r="E26" s="13" t="n">
        <f aca="false">IF(COUNT(E22:E25)=0,"",AVERAGE(E22:E25))</f>
        <v>19.75</v>
      </c>
      <c r="F26" s="13" t="n">
        <f aca="false">IF(COUNT(F22:F25)=0,"",AVERAGE(F22:F25))</f>
        <v>19.25</v>
      </c>
      <c r="G26" s="13" t="n">
        <f aca="false">IF(COUNT(G22:G25)=0,"",AVERAGE(G22:G25))</f>
        <v>19.75</v>
      </c>
      <c r="H26" s="13" t="n">
        <f aca="false">IF(COUNT(H22:H25)=0,"",AVERAGE(H22:H25))</f>
        <v>24.5</v>
      </c>
      <c r="I26" s="13" t="n">
        <f aca="false">C26</f>
        <v>17.5</v>
      </c>
      <c r="J26" s="13" t="n">
        <f aca="false">LOOKUP(9.99E+307,B26:H26)</f>
        <v>24.5</v>
      </c>
      <c r="K26" s="14" t="n">
        <f aca="false">J26-I26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2"/>
  </cols>
  <sheetData>
    <row r="1" customFormat="false" ht="19.4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4" t="s">
        <v>29</v>
      </c>
    </row>
    <row r="5" customFormat="false" ht="33.75" hidden="false" customHeight="true" outlineLevel="0" collapsed="false">
      <c r="A5" s="5" t="s">
        <v>30</v>
      </c>
      <c r="B5" s="5" t="s">
        <v>49</v>
      </c>
      <c r="C5" s="5" t="s">
        <v>50</v>
      </c>
      <c r="D5" s="5" t="s">
        <v>51</v>
      </c>
      <c r="E5" s="5" t="s">
        <v>52</v>
      </c>
      <c r="F5" s="5" t="s">
        <v>38</v>
      </c>
      <c r="G5" s="5" t="s">
        <v>39</v>
      </c>
      <c r="H5" s="5" t="s">
        <v>20</v>
      </c>
    </row>
    <row r="6" customFormat="false" ht="15" hidden="false" customHeight="false" outlineLevel="0" collapsed="false">
      <c r="A6" s="6" t="s">
        <v>40</v>
      </c>
      <c r="B6" s="10" t="n">
        <v>87</v>
      </c>
      <c r="C6" s="10" t="n">
        <v>86</v>
      </c>
      <c r="D6" s="10" t="n">
        <v>80</v>
      </c>
      <c r="E6" s="10" t="n">
        <v>84</v>
      </c>
      <c r="F6" s="7" t="n">
        <f aca="false">B6</f>
        <v>87</v>
      </c>
      <c r="G6" s="7" t="n">
        <f aca="false">LOOKUP(9.99E+307,B6:E6)</f>
        <v>84</v>
      </c>
      <c r="H6" s="11" t="n">
        <f aca="false">G6-F6</f>
        <v>-3</v>
      </c>
    </row>
    <row r="7" customFormat="false" ht="15" hidden="false" customHeight="false" outlineLevel="0" collapsed="false">
      <c r="A7" s="6" t="s">
        <v>41</v>
      </c>
      <c r="B7" s="10" t="n">
        <v>82</v>
      </c>
      <c r="C7" s="10" t="n">
        <v>77</v>
      </c>
      <c r="D7" s="10" t="n">
        <v>79</v>
      </c>
      <c r="E7" s="10" t="n">
        <v>80</v>
      </c>
      <c r="F7" s="7" t="n">
        <f aca="false">B7</f>
        <v>82</v>
      </c>
      <c r="G7" s="7" t="n">
        <f aca="false">LOOKUP(9.99E+307,B7:E7)</f>
        <v>80</v>
      </c>
      <c r="H7" s="11" t="n">
        <f aca="false">G7-F7</f>
        <v>-2</v>
      </c>
    </row>
    <row r="8" customFormat="false" ht="15" hidden="false" customHeight="false" outlineLevel="0" collapsed="false">
      <c r="A8" s="6" t="s">
        <v>42</v>
      </c>
      <c r="B8" s="10" t="n">
        <v>80</v>
      </c>
      <c r="C8" s="10" t="n">
        <v>81</v>
      </c>
      <c r="D8" s="10" t="n">
        <v>91</v>
      </c>
      <c r="E8" s="10" t="n">
        <v>87</v>
      </c>
      <c r="F8" s="7" t="n">
        <f aca="false">B8</f>
        <v>80</v>
      </c>
      <c r="G8" s="7" t="n">
        <f aca="false">LOOKUP(9.99E+307,B8:E8)</f>
        <v>87</v>
      </c>
      <c r="H8" s="11" t="n">
        <f aca="false">G8-F8</f>
        <v>7</v>
      </c>
    </row>
    <row r="9" customFormat="false" ht="15" hidden="false" customHeight="false" outlineLevel="0" collapsed="false">
      <c r="A9" s="6" t="s">
        <v>43</v>
      </c>
      <c r="B9" s="10" t="n">
        <v>84</v>
      </c>
      <c r="C9" s="10" t="n">
        <v>89</v>
      </c>
      <c r="D9" s="10" t="n">
        <v>74</v>
      </c>
      <c r="E9" s="10" t="n">
        <v>86</v>
      </c>
      <c r="F9" s="7" t="n">
        <f aca="false">B9</f>
        <v>84</v>
      </c>
      <c r="G9" s="7" t="n">
        <f aca="false">LOOKUP(9.99E+307,B9:E9)</f>
        <v>86</v>
      </c>
      <c r="H9" s="11" t="n">
        <f aca="false">G9-F9</f>
        <v>2</v>
      </c>
    </row>
    <row r="10" customFormat="false" ht="15" hidden="false" customHeight="false" outlineLevel="0" collapsed="false">
      <c r="A10" s="12" t="s">
        <v>44</v>
      </c>
      <c r="B10" s="13" t="n">
        <f aca="false">IF(COUNT(B6:B9)=0,"",AVERAGE(B6:B9))</f>
        <v>83.25</v>
      </c>
      <c r="C10" s="13" t="n">
        <f aca="false">IF(COUNT(C6:C9)=0,"",AVERAGE(C6:C9))</f>
        <v>83.25</v>
      </c>
      <c r="D10" s="13" t="n">
        <f aca="false">IF(COUNT(D6:D9)=0,"",AVERAGE(D6:D9))</f>
        <v>81</v>
      </c>
      <c r="E10" s="13" t="n">
        <f aca="false">IF(COUNT(E6:E9)=0,"",AVERAGE(E6:E9))</f>
        <v>84.25</v>
      </c>
      <c r="F10" s="13" t="n">
        <f aca="false">B10</f>
        <v>83.25</v>
      </c>
      <c r="G10" s="13" t="n">
        <f aca="false">LOOKUP(9.99E+307,B10:E10)</f>
        <v>84.25</v>
      </c>
      <c r="H10" s="14" t="n">
        <f aca="false">G10-F10</f>
        <v>1</v>
      </c>
    </row>
    <row r="12" customFormat="false" ht="15" hidden="false" customHeight="false" outlineLevel="0" collapsed="false">
      <c r="A12" s="4" t="s">
        <v>45</v>
      </c>
    </row>
    <row r="13" customFormat="false" ht="33.75" hidden="false" customHeight="true" outlineLevel="0" collapsed="false">
      <c r="A13" s="5" t="s">
        <v>30</v>
      </c>
      <c r="B13" s="5" t="s">
        <v>49</v>
      </c>
      <c r="C13" s="5" t="s">
        <v>50</v>
      </c>
      <c r="D13" s="5" t="s">
        <v>51</v>
      </c>
      <c r="E13" s="5" t="s">
        <v>52</v>
      </c>
      <c r="F13" s="5" t="s">
        <v>38</v>
      </c>
      <c r="G13" s="5" t="s">
        <v>39</v>
      </c>
      <c r="H13" s="5" t="s">
        <v>20</v>
      </c>
    </row>
    <row r="14" customFormat="false" ht="15" hidden="false" customHeight="false" outlineLevel="0" collapsed="false">
      <c r="A14" s="6" t="s">
        <v>40</v>
      </c>
      <c r="B14" s="10" t="n">
        <v>17</v>
      </c>
      <c r="C14" s="10" t="n">
        <v>16</v>
      </c>
      <c r="D14" s="10" t="n">
        <v>16</v>
      </c>
      <c r="E14" s="10" t="n">
        <v>17</v>
      </c>
      <c r="F14" s="7" t="n">
        <f aca="false">B14</f>
        <v>17</v>
      </c>
      <c r="G14" s="7" t="n">
        <f aca="false">LOOKUP(9.99E+307,B14:E14)</f>
        <v>17</v>
      </c>
      <c r="H14" s="11" t="n">
        <f aca="false">G14-F14</f>
        <v>0</v>
      </c>
    </row>
    <row r="15" customFormat="false" ht="15" hidden="false" customHeight="false" outlineLevel="0" collapsed="false">
      <c r="A15" s="6" t="s">
        <v>41</v>
      </c>
      <c r="B15" s="10" t="n">
        <v>17</v>
      </c>
      <c r="C15" s="10" t="n">
        <v>17</v>
      </c>
      <c r="D15" s="10" t="n">
        <v>17</v>
      </c>
      <c r="E15" s="10" t="n">
        <v>17</v>
      </c>
      <c r="F15" s="7" t="n">
        <f aca="false">B15</f>
        <v>17</v>
      </c>
      <c r="G15" s="7" t="n">
        <f aca="false">LOOKUP(9.99E+307,B15:E15)</f>
        <v>17</v>
      </c>
      <c r="H15" s="11" t="n">
        <f aca="false">G15-F15</f>
        <v>0</v>
      </c>
    </row>
    <row r="16" customFormat="false" ht="15" hidden="false" customHeight="false" outlineLevel="0" collapsed="false">
      <c r="A16" s="6" t="s">
        <v>42</v>
      </c>
      <c r="B16" s="10" t="n">
        <v>17</v>
      </c>
      <c r="C16" s="10" t="n">
        <v>17</v>
      </c>
      <c r="D16" s="10" t="n">
        <v>17</v>
      </c>
      <c r="E16" s="10" t="n">
        <v>17</v>
      </c>
      <c r="F16" s="7" t="n">
        <f aca="false">B16</f>
        <v>17</v>
      </c>
      <c r="G16" s="7" t="n">
        <f aca="false">LOOKUP(9.99E+307,B16:E16)</f>
        <v>17</v>
      </c>
      <c r="H16" s="11" t="n">
        <f aca="false">G16-F16</f>
        <v>0</v>
      </c>
    </row>
    <row r="17" customFormat="false" ht="15" hidden="false" customHeight="false" outlineLevel="0" collapsed="false">
      <c r="A17" s="6" t="s">
        <v>43</v>
      </c>
      <c r="B17" s="10" t="n">
        <v>16</v>
      </c>
      <c r="C17" s="10" t="n">
        <v>17</v>
      </c>
      <c r="D17" s="10" t="n">
        <v>14</v>
      </c>
      <c r="E17" s="10" t="n">
        <v>16</v>
      </c>
      <c r="F17" s="7" t="n">
        <f aca="false">B17</f>
        <v>16</v>
      </c>
      <c r="G17" s="7" t="n">
        <f aca="false">LOOKUP(9.99E+307,B17:E17)</f>
        <v>16</v>
      </c>
      <c r="H17" s="11" t="n">
        <f aca="false">G17-F17</f>
        <v>0</v>
      </c>
    </row>
    <row r="18" customFormat="false" ht="15" hidden="false" customHeight="false" outlineLevel="0" collapsed="false">
      <c r="A18" s="12" t="s">
        <v>44</v>
      </c>
      <c r="B18" s="13" t="n">
        <f aca="false">IF(COUNT(B14:B17)=0,"",AVERAGE(B14:B17))</f>
        <v>16.75</v>
      </c>
      <c r="C18" s="13" t="n">
        <f aca="false">IF(COUNT(C14:C17)=0,"",AVERAGE(C14:C17))</f>
        <v>16.75</v>
      </c>
      <c r="D18" s="13" t="n">
        <f aca="false">IF(COUNT(D14:D17)=0,"",AVERAGE(D14:D17))</f>
        <v>16</v>
      </c>
      <c r="E18" s="13" t="n">
        <f aca="false">IF(COUNT(E14:E17)=0,"",AVERAGE(E14:E17))</f>
        <v>16.75</v>
      </c>
      <c r="F18" s="13" t="n">
        <f aca="false">B18</f>
        <v>16.75</v>
      </c>
      <c r="G18" s="13" t="n">
        <f aca="false">LOOKUP(9.99E+307,B18:E18)</f>
        <v>16.75</v>
      </c>
      <c r="H18" s="14" t="n">
        <f aca="false">G18-F18</f>
        <v>0</v>
      </c>
    </row>
    <row r="20" customFormat="false" ht="15" hidden="false" customHeight="false" outlineLevel="0" collapsed="false">
      <c r="A20" s="4" t="s">
        <v>46</v>
      </c>
    </row>
    <row r="21" customFormat="false" ht="33.75" hidden="false" customHeight="true" outlineLevel="0" collapsed="false">
      <c r="A21" s="5" t="s">
        <v>30</v>
      </c>
      <c r="B21" s="5" t="s">
        <v>49</v>
      </c>
      <c r="C21" s="5" t="s">
        <v>50</v>
      </c>
      <c r="D21" s="5" t="s">
        <v>51</v>
      </c>
      <c r="E21" s="5" t="s">
        <v>52</v>
      </c>
      <c r="F21" s="5" t="s">
        <v>38</v>
      </c>
      <c r="G21" s="5" t="s">
        <v>39</v>
      </c>
      <c r="H21" s="5" t="s">
        <v>20</v>
      </c>
    </row>
    <row r="22" customFormat="false" ht="15" hidden="false" customHeight="false" outlineLevel="0" collapsed="false">
      <c r="A22" s="6" t="s">
        <v>40</v>
      </c>
      <c r="B22" s="10" t="n">
        <v>23</v>
      </c>
      <c r="C22" s="10" t="n">
        <v>23</v>
      </c>
      <c r="D22" s="10" t="n">
        <v>20</v>
      </c>
      <c r="E22" s="10" t="n">
        <v>21</v>
      </c>
      <c r="F22" s="7" t="n">
        <f aca="false">B22</f>
        <v>23</v>
      </c>
      <c r="G22" s="7" t="n">
        <f aca="false">LOOKUP(9.99E+307,B22:E22)</f>
        <v>21</v>
      </c>
      <c r="H22" s="11" t="n">
        <f aca="false">G22-F22</f>
        <v>-2</v>
      </c>
    </row>
    <row r="23" customFormat="false" ht="15" hidden="false" customHeight="false" outlineLevel="0" collapsed="false">
      <c r="A23" s="6" t="s">
        <v>41</v>
      </c>
      <c r="B23" s="10" t="n">
        <v>21</v>
      </c>
      <c r="C23" s="10" t="n">
        <v>19</v>
      </c>
      <c r="D23" s="10" t="n">
        <v>19</v>
      </c>
      <c r="E23" s="10" t="n">
        <v>20</v>
      </c>
      <c r="F23" s="7" t="n">
        <f aca="false">B23</f>
        <v>21</v>
      </c>
      <c r="G23" s="7" t="n">
        <f aca="false">LOOKUP(9.99E+307,B23:E23)</f>
        <v>20</v>
      </c>
      <c r="H23" s="11" t="n">
        <f aca="false">G23-F23</f>
        <v>-1</v>
      </c>
    </row>
    <row r="24" customFormat="false" ht="15" hidden="false" customHeight="false" outlineLevel="0" collapsed="false">
      <c r="A24" s="6" t="s">
        <v>42</v>
      </c>
      <c r="B24" s="10" t="n">
        <v>20</v>
      </c>
      <c r="C24" s="10" t="n">
        <v>20</v>
      </c>
      <c r="D24" s="10" t="n">
        <v>24</v>
      </c>
      <c r="E24" s="10" t="n">
        <v>23</v>
      </c>
      <c r="F24" s="7" t="n">
        <f aca="false">B24</f>
        <v>20</v>
      </c>
      <c r="G24" s="7" t="n">
        <f aca="false">LOOKUP(9.99E+307,B24:E24)</f>
        <v>23</v>
      </c>
      <c r="H24" s="11" t="n">
        <f aca="false">G24-F24</f>
        <v>3</v>
      </c>
    </row>
    <row r="25" customFormat="false" ht="15" hidden="false" customHeight="false" outlineLevel="0" collapsed="false">
      <c r="A25" s="6" t="s">
        <v>43</v>
      </c>
      <c r="B25" s="10" t="n">
        <v>23</v>
      </c>
      <c r="C25" s="10" t="n">
        <v>24</v>
      </c>
      <c r="D25" s="10" t="n">
        <v>20</v>
      </c>
      <c r="E25" s="10" t="n">
        <v>23</v>
      </c>
      <c r="F25" s="7" t="n">
        <f aca="false">B25</f>
        <v>23</v>
      </c>
      <c r="G25" s="7" t="n">
        <f aca="false">LOOKUP(9.99E+307,B25:E25)</f>
        <v>23</v>
      </c>
      <c r="H25" s="11" t="n">
        <f aca="false">G25-F25</f>
        <v>0</v>
      </c>
    </row>
    <row r="26" customFormat="false" ht="15" hidden="false" customHeight="false" outlineLevel="0" collapsed="false">
      <c r="A26" s="12" t="s">
        <v>44</v>
      </c>
      <c r="B26" s="13" t="n">
        <f aca="false">IF(COUNT(B22:B25)=0,"",AVERAGE(B22:B25))</f>
        <v>21.75</v>
      </c>
      <c r="C26" s="13" t="n">
        <f aca="false">IF(COUNT(C22:C25)=0,"",AVERAGE(C22:C25))</f>
        <v>21.5</v>
      </c>
      <c r="D26" s="13" t="n">
        <f aca="false">IF(COUNT(D22:D25)=0,"",AVERAGE(D22:D25))</f>
        <v>20.75</v>
      </c>
      <c r="E26" s="13" t="n">
        <f aca="false">IF(COUNT(E22:E25)=0,"",AVERAGE(E22:E25))</f>
        <v>21.75</v>
      </c>
      <c r="F26" s="13" t="n">
        <f aca="false">B26</f>
        <v>21.75</v>
      </c>
      <c r="G26" s="13" t="n">
        <f aca="false">LOOKUP(9.99E+307,B26:E26)</f>
        <v>21.75</v>
      </c>
      <c r="H26" s="14" t="n">
        <f aca="false">G26-F26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2"/>
  </cols>
  <sheetData>
    <row r="1" customFormat="false" ht="19.4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4" t="s">
        <v>29</v>
      </c>
    </row>
    <row r="5" customFormat="false" ht="33.75" hidden="false" customHeight="true" outlineLevel="0" collapsed="false">
      <c r="A5" s="5" t="s">
        <v>30</v>
      </c>
      <c r="B5" s="5" t="s">
        <v>55</v>
      </c>
      <c r="C5" s="5" t="s">
        <v>56</v>
      </c>
      <c r="D5" s="5" t="s">
        <v>38</v>
      </c>
      <c r="E5" s="5" t="s">
        <v>39</v>
      </c>
      <c r="F5" s="5" t="s">
        <v>20</v>
      </c>
    </row>
    <row r="6" customFormat="false" ht="15" hidden="false" customHeight="false" outlineLevel="0" collapsed="false">
      <c r="A6" s="6" t="s">
        <v>40</v>
      </c>
      <c r="B6" s="10" t="n">
        <v>86</v>
      </c>
      <c r="C6" s="10" t="n">
        <v>88</v>
      </c>
      <c r="D6" s="7" t="n">
        <f aca="false">B6</f>
        <v>86</v>
      </c>
      <c r="E6" s="7" t="n">
        <f aca="false">LOOKUP(9.99E+307,B6:C6)</f>
        <v>88</v>
      </c>
      <c r="F6" s="11" t="n">
        <f aca="false">E6-D6</f>
        <v>2</v>
      </c>
    </row>
    <row r="7" customFormat="false" ht="15" hidden="false" customHeight="false" outlineLevel="0" collapsed="false">
      <c r="A7" s="6" t="s">
        <v>41</v>
      </c>
      <c r="B7" s="10" t="n">
        <v>88</v>
      </c>
      <c r="C7" s="10" t="n">
        <v>88</v>
      </c>
      <c r="D7" s="7" t="n">
        <f aca="false">B7</f>
        <v>88</v>
      </c>
      <c r="E7" s="7" t="n">
        <f aca="false">LOOKUP(9.99E+307,B7:C7)</f>
        <v>88</v>
      </c>
      <c r="F7" s="11" t="n">
        <f aca="false">E7-D7</f>
        <v>0</v>
      </c>
    </row>
    <row r="8" customFormat="false" ht="15" hidden="false" customHeight="false" outlineLevel="0" collapsed="false">
      <c r="A8" s="6" t="s">
        <v>42</v>
      </c>
      <c r="B8" s="10" t="n">
        <v>93</v>
      </c>
      <c r="C8" s="10" t="n">
        <v>87</v>
      </c>
      <c r="D8" s="7" t="n">
        <f aca="false">B8</f>
        <v>93</v>
      </c>
      <c r="E8" s="7" t="n">
        <f aca="false">LOOKUP(9.99E+307,B8:C8)</f>
        <v>87</v>
      </c>
      <c r="F8" s="11" t="n">
        <f aca="false">E8-D8</f>
        <v>-6</v>
      </c>
    </row>
    <row r="9" customFormat="false" ht="15" hidden="false" customHeight="false" outlineLevel="0" collapsed="false">
      <c r="A9" s="6" t="s">
        <v>43</v>
      </c>
      <c r="B9" s="10" t="n">
        <v>74</v>
      </c>
      <c r="C9" s="10"/>
      <c r="D9" s="7" t="n">
        <f aca="false">B9</f>
        <v>74</v>
      </c>
      <c r="E9" s="7" t="n">
        <f aca="false">LOOKUP(9.99E+307,B9:C9)</f>
        <v>74</v>
      </c>
      <c r="F9" s="11" t="n">
        <f aca="false">E9-D9</f>
        <v>0</v>
      </c>
    </row>
    <row r="10" customFormat="false" ht="15" hidden="false" customHeight="false" outlineLevel="0" collapsed="false">
      <c r="A10" s="12" t="s">
        <v>44</v>
      </c>
      <c r="B10" s="13" t="n">
        <f aca="false">IF(COUNT(B6:B9)=0,"",AVERAGE(B6:B9))</f>
        <v>85.25</v>
      </c>
      <c r="C10" s="13" t="n">
        <f aca="false">IF(COUNT(C6:C9)=0,"",AVERAGE(C6:C9))</f>
        <v>87.6666666666667</v>
      </c>
      <c r="D10" s="13" t="n">
        <f aca="false">B10</f>
        <v>85.25</v>
      </c>
      <c r="E10" s="13" t="n">
        <f aca="false">LOOKUP(9.99E+307,B10:C10)</f>
        <v>87.6666666666667</v>
      </c>
      <c r="F10" s="14" t="n">
        <f aca="false">E10-D10</f>
        <v>2.41666666666667</v>
      </c>
    </row>
    <row r="12" customFormat="false" ht="15" hidden="false" customHeight="false" outlineLevel="0" collapsed="false">
      <c r="A12" s="4" t="s">
        <v>45</v>
      </c>
    </row>
    <row r="13" customFormat="false" ht="33.75" hidden="false" customHeight="true" outlineLevel="0" collapsed="false">
      <c r="A13" s="5" t="s">
        <v>30</v>
      </c>
      <c r="B13" s="5" t="s">
        <v>55</v>
      </c>
      <c r="C13" s="5" t="s">
        <v>56</v>
      </c>
      <c r="D13" s="5" t="s">
        <v>38</v>
      </c>
      <c r="E13" s="5" t="s">
        <v>39</v>
      </c>
      <c r="F13" s="5" t="s">
        <v>20</v>
      </c>
    </row>
    <row r="14" customFormat="false" ht="15" hidden="false" customHeight="false" outlineLevel="0" collapsed="false">
      <c r="A14" s="6" t="s">
        <v>40</v>
      </c>
      <c r="B14" s="10" t="n">
        <v>17</v>
      </c>
      <c r="C14" s="10" t="n">
        <v>17</v>
      </c>
      <c r="D14" s="7" t="n">
        <f aca="false">B14</f>
        <v>17</v>
      </c>
      <c r="E14" s="7" t="n">
        <f aca="false">LOOKUP(9.99E+307,B14:C14)</f>
        <v>17</v>
      </c>
      <c r="F14" s="11" t="n">
        <f aca="false">E14-D14</f>
        <v>0</v>
      </c>
    </row>
    <row r="15" customFormat="false" ht="15" hidden="false" customHeight="false" outlineLevel="0" collapsed="false">
      <c r="A15" s="6" t="s">
        <v>41</v>
      </c>
      <c r="B15" s="10" t="n">
        <v>17</v>
      </c>
      <c r="C15" s="10" t="n">
        <v>17</v>
      </c>
      <c r="D15" s="7" t="n">
        <f aca="false">B15</f>
        <v>17</v>
      </c>
      <c r="E15" s="7" t="n">
        <f aca="false">LOOKUP(9.99E+307,B15:C15)</f>
        <v>17</v>
      </c>
      <c r="F15" s="11" t="n">
        <f aca="false">E15-D15</f>
        <v>0</v>
      </c>
    </row>
    <row r="16" customFormat="false" ht="15" hidden="false" customHeight="false" outlineLevel="0" collapsed="false">
      <c r="A16" s="6" t="s">
        <v>42</v>
      </c>
      <c r="B16" s="10" t="n">
        <v>17</v>
      </c>
      <c r="C16" s="10" t="n">
        <v>17</v>
      </c>
      <c r="D16" s="7" t="n">
        <f aca="false">B16</f>
        <v>17</v>
      </c>
      <c r="E16" s="7" t="n">
        <f aca="false">LOOKUP(9.99E+307,B16:C16)</f>
        <v>17</v>
      </c>
      <c r="F16" s="11" t="n">
        <f aca="false">E16-D16</f>
        <v>0</v>
      </c>
    </row>
    <row r="17" customFormat="false" ht="15" hidden="false" customHeight="false" outlineLevel="0" collapsed="false">
      <c r="A17" s="6" t="s">
        <v>43</v>
      </c>
      <c r="B17" s="10" t="n">
        <v>16</v>
      </c>
      <c r="C17" s="10"/>
      <c r="D17" s="7" t="n">
        <f aca="false">B17</f>
        <v>16</v>
      </c>
      <c r="E17" s="7" t="n">
        <f aca="false">LOOKUP(9.99E+307,B17:C17)</f>
        <v>16</v>
      </c>
      <c r="F17" s="11" t="n">
        <f aca="false">E17-D17</f>
        <v>0</v>
      </c>
    </row>
    <row r="18" customFormat="false" ht="15" hidden="false" customHeight="false" outlineLevel="0" collapsed="false">
      <c r="A18" s="12" t="s">
        <v>44</v>
      </c>
      <c r="B18" s="13" t="n">
        <f aca="false">IF(COUNT(B14:B17)=0,"",AVERAGE(B14:B17))</f>
        <v>16.75</v>
      </c>
      <c r="C18" s="13" t="n">
        <f aca="false">IF(COUNT(C14:C17)=0,"",AVERAGE(C14:C17))</f>
        <v>17</v>
      </c>
      <c r="D18" s="13" t="n">
        <f aca="false">B18</f>
        <v>16.75</v>
      </c>
      <c r="E18" s="13" t="n">
        <f aca="false">LOOKUP(9.99E+307,B18:C18)</f>
        <v>17</v>
      </c>
      <c r="F18" s="14" t="n">
        <f aca="false">E18-D18</f>
        <v>0.25</v>
      </c>
    </row>
    <row r="20" customFormat="false" ht="15" hidden="false" customHeight="false" outlineLevel="0" collapsed="false">
      <c r="A20" s="4" t="s">
        <v>46</v>
      </c>
    </row>
    <row r="21" customFormat="false" ht="33.75" hidden="false" customHeight="true" outlineLevel="0" collapsed="false">
      <c r="A21" s="5" t="s">
        <v>30</v>
      </c>
      <c r="B21" s="5" t="s">
        <v>55</v>
      </c>
      <c r="C21" s="5" t="s">
        <v>56</v>
      </c>
      <c r="D21" s="5" t="s">
        <v>38</v>
      </c>
      <c r="E21" s="5" t="s">
        <v>39</v>
      </c>
      <c r="F21" s="5" t="s">
        <v>20</v>
      </c>
    </row>
    <row r="22" customFormat="false" ht="15" hidden="false" customHeight="false" outlineLevel="0" collapsed="false">
      <c r="A22" s="6" t="s">
        <v>40</v>
      </c>
      <c r="B22" s="10" t="n">
        <v>23</v>
      </c>
      <c r="C22" s="10" t="n">
        <v>23</v>
      </c>
      <c r="D22" s="7" t="n">
        <f aca="false">B22</f>
        <v>23</v>
      </c>
      <c r="E22" s="7" t="n">
        <f aca="false">LOOKUP(9.99E+307,B22:C22)</f>
        <v>23</v>
      </c>
      <c r="F22" s="11" t="n">
        <f aca="false">E22-D22</f>
        <v>0</v>
      </c>
    </row>
    <row r="23" customFormat="false" ht="15" hidden="false" customHeight="false" outlineLevel="0" collapsed="false">
      <c r="A23" s="6" t="s">
        <v>41</v>
      </c>
      <c r="B23" s="10" t="n">
        <v>23</v>
      </c>
      <c r="C23" s="10" t="n">
        <v>23</v>
      </c>
      <c r="D23" s="7" t="n">
        <f aca="false">B23</f>
        <v>23</v>
      </c>
      <c r="E23" s="7" t="n">
        <f aca="false">LOOKUP(9.99E+307,B23:C23)</f>
        <v>23</v>
      </c>
      <c r="F23" s="11" t="n">
        <f aca="false">E23-D23</f>
        <v>0</v>
      </c>
    </row>
    <row r="24" customFormat="false" ht="15" hidden="false" customHeight="false" outlineLevel="0" collapsed="false">
      <c r="A24" s="6" t="s">
        <v>42</v>
      </c>
      <c r="B24" s="10" t="n">
        <v>25</v>
      </c>
      <c r="C24" s="10" t="n">
        <v>23</v>
      </c>
      <c r="D24" s="7" t="n">
        <f aca="false">B24</f>
        <v>25</v>
      </c>
      <c r="E24" s="7" t="n">
        <f aca="false">LOOKUP(9.99E+307,B24:C24)</f>
        <v>23</v>
      </c>
      <c r="F24" s="11" t="n">
        <f aca="false">E24-D24</f>
        <v>-2</v>
      </c>
    </row>
    <row r="25" customFormat="false" ht="15" hidden="false" customHeight="false" outlineLevel="0" collapsed="false">
      <c r="A25" s="6" t="s">
        <v>43</v>
      </c>
      <c r="B25" s="10" t="n">
        <v>18</v>
      </c>
      <c r="C25" s="10"/>
      <c r="D25" s="7" t="n">
        <f aca="false">B25</f>
        <v>18</v>
      </c>
      <c r="E25" s="7" t="n">
        <f aca="false">LOOKUP(9.99E+307,B25:C25)</f>
        <v>18</v>
      </c>
      <c r="F25" s="11" t="n">
        <f aca="false">E25-D25</f>
        <v>0</v>
      </c>
    </row>
    <row r="26" customFormat="false" ht="15" hidden="false" customHeight="false" outlineLevel="0" collapsed="false">
      <c r="A26" s="12" t="s">
        <v>44</v>
      </c>
      <c r="B26" s="13" t="n">
        <f aca="false">IF(COUNT(B22:B25)=0,"",AVERAGE(B22:B25))</f>
        <v>22.25</v>
      </c>
      <c r="C26" s="13" t="n">
        <f aca="false">IF(COUNT(C22:C25)=0,"",AVERAGE(C22:C25))</f>
        <v>23</v>
      </c>
      <c r="D26" s="13" t="n">
        <f aca="false">B26</f>
        <v>22.25</v>
      </c>
      <c r="E26" s="13" t="n">
        <f aca="false">LOOKUP(9.99E+307,B26:C26)</f>
        <v>23</v>
      </c>
      <c r="F26" s="14" t="n">
        <f aca="false">E26-D26</f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2026-10-28T05:01:39Z</dcterms:created>
  <dc:creator>openpyxl</dc:creator>
  <dc:description/>
  <dc:language>en-US</dc:language>
  <cp:lastModifiedBy/>
  <dcterms:modified xsi:type="dcterms:W3CDTF">2026-10-28T05:01:41Z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