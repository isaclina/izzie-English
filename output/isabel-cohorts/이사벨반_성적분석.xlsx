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반 비교" sheetId="2" state="visible" r:id="rId4"/>
    <sheet name="김건희반_2020" sheetId="3" state="visible" r:id="rId5"/>
    <sheet name="구성관반_2023" sheetId="4" state="visible" r:id="rId6"/>
    <sheet name="이서연반_202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WenQuanYi Zen Hei"/>
            <family val="2"/>
          </rPr>
          <t xml:space="preserve">중</t>
        </r>
        <r>
          <rPr>
            <sz val="10"/>
            <rFont val="Arial"/>
            <family val="2"/>
          </rPr>
          <t xml:space="preserve">1 1</t>
        </r>
        <r>
          <rPr>
            <sz val="10"/>
            <rFont val="WenQuanYi Zen Hei"/>
            <family val="2"/>
          </rPr>
          <t xml:space="preserve">차 고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WenQuanYi Zen Hei"/>
            <family val="2"/>
          </rPr>
          <t xml:space="preserve">모의고사</t>
        </r>
      </text>
    </comment>
    <comment ref="B6" authorId="0">
      <text>
        <r>
          <rPr>
            <sz val="10"/>
            <rFont val="WenQuanYi Zen Hei"/>
            <family val="2"/>
          </rPr>
          <t xml:space="preserve">중</t>
        </r>
        <r>
          <rPr>
            <sz val="10"/>
            <rFont val="Arial"/>
            <family val="2"/>
          </rPr>
          <t xml:space="preserve">1 5</t>
        </r>
        <r>
          <rPr>
            <sz val="10"/>
            <rFont val="WenQuanYi Zen Hei"/>
            <family val="2"/>
          </rPr>
          <t xml:space="preserve">차 고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WenQuanYi Zen Hei"/>
            <family val="2"/>
          </rPr>
          <t xml:space="preserve">모의고사</t>
        </r>
      </text>
    </comment>
    <comment ref="B7" authorId="0">
      <text>
        <r>
          <rPr>
            <sz val="10"/>
            <rFont val="WenQuanYi Zen Hei"/>
            <family val="2"/>
          </rPr>
          <t xml:space="preserve">중</t>
        </r>
        <r>
          <rPr>
            <sz val="10"/>
            <rFont val="Arial"/>
            <family val="2"/>
          </rPr>
          <t xml:space="preserve">2 1</t>
        </r>
        <r>
          <rPr>
            <sz val="10"/>
            <rFont val="WenQuanYi Zen Hei"/>
            <family val="2"/>
          </rPr>
          <t xml:space="preserve">차 모의고사</t>
        </r>
      </text>
    </comment>
    <comment ref="B8" authorId="0">
      <text>
        <r>
          <rPr>
            <sz val="10"/>
            <rFont val="WenQuanYi Zen Hei"/>
            <family val="2"/>
          </rPr>
          <t xml:space="preserve">중</t>
        </r>
        <r>
          <rPr>
            <sz val="10"/>
            <rFont val="Arial"/>
            <family val="2"/>
          </rPr>
          <t xml:space="preserve">2 3</t>
        </r>
        <r>
          <rPr>
            <sz val="10"/>
            <rFont val="WenQuanYi Zen Hei"/>
            <family val="2"/>
          </rPr>
          <t xml:space="preserve">차 고</t>
        </r>
        <r>
          <rPr>
            <sz val="10"/>
            <rFont val="Arial"/>
            <family val="2"/>
          </rPr>
          <t xml:space="preserve">2 </t>
        </r>
        <r>
          <rPr>
            <sz val="10"/>
            <rFont val="WenQuanYi Zen Hei"/>
            <family val="2"/>
          </rPr>
          <t xml:space="preserve">모의고사</t>
        </r>
      </text>
    </comment>
    <comment ref="B9" authorId="0">
      <text>
        <r>
          <rPr>
            <sz val="10"/>
            <rFont val="WenQuanYi Zen Hei"/>
            <family val="2"/>
          </rPr>
          <t xml:space="preserve">중</t>
        </r>
        <r>
          <rPr>
            <sz val="10"/>
            <rFont val="Arial"/>
            <family val="2"/>
          </rPr>
          <t xml:space="preserve">3 4</t>
        </r>
        <r>
          <rPr>
            <sz val="10"/>
            <rFont val="WenQuanYi Zen Hei"/>
            <family val="2"/>
          </rPr>
          <t xml:space="preserve">차 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WenQuanYi Zen Hei"/>
            <family val="2"/>
          </rPr>
          <t xml:space="preserve">학년도 수능</t>
        </r>
      </text>
    </comment>
    <comment ref="C5" authorId="0">
      <text>
        <r>
          <rPr>
            <sz val="10"/>
            <rFont val="WenQuanYi Zen Hei"/>
            <family val="2"/>
          </rPr>
          <t xml:space="preserve">중</t>
        </r>
        <r>
          <rPr>
            <sz val="10"/>
            <rFont val="Arial"/>
            <family val="2"/>
          </rPr>
          <t xml:space="preserve">1 1</t>
        </r>
        <r>
          <rPr>
            <sz val="10"/>
            <rFont val="WenQuanYi Zen Hei"/>
            <family val="2"/>
          </rPr>
          <t xml:space="preserve">차 고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WenQuanYi Zen Hei"/>
            <family val="2"/>
          </rPr>
          <t xml:space="preserve">모의고사</t>
        </r>
      </text>
    </comment>
    <comment ref="C6" authorId="0">
      <text>
        <r>
          <rPr>
            <sz val="10"/>
            <rFont val="WenQuanYi Zen Hei"/>
            <family val="2"/>
          </rPr>
          <t xml:space="preserve">중</t>
        </r>
        <r>
          <rPr>
            <sz val="10"/>
            <rFont val="Arial"/>
            <family val="2"/>
          </rPr>
          <t xml:space="preserve">1 5</t>
        </r>
        <r>
          <rPr>
            <sz val="10"/>
            <rFont val="WenQuanYi Zen Hei"/>
            <family val="2"/>
          </rPr>
          <t xml:space="preserve">차 고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WenQuanYi Zen Hei"/>
            <family val="2"/>
          </rPr>
          <t xml:space="preserve">모의고사</t>
        </r>
      </text>
    </comment>
    <comment ref="C7" authorId="0">
      <text>
        <r>
          <rPr>
            <sz val="10"/>
            <rFont val="WenQuanYi Zen Hei"/>
            <family val="2"/>
          </rPr>
          <t xml:space="preserve">중</t>
        </r>
        <r>
          <rPr>
            <sz val="10"/>
            <rFont val="Arial"/>
            <family val="2"/>
          </rPr>
          <t xml:space="preserve">2 1</t>
        </r>
        <r>
          <rPr>
            <sz val="10"/>
            <rFont val="WenQuanYi Zen Hei"/>
            <family val="2"/>
          </rPr>
          <t xml:space="preserve">차 고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WenQuanYi Zen Hei"/>
            <family val="2"/>
          </rPr>
          <t xml:space="preserve">모의고사</t>
        </r>
      </text>
    </comment>
    <comment ref="C8" authorId="0">
      <text>
        <r>
          <rPr>
            <sz val="10"/>
            <rFont val="WenQuanYi Zen Hei"/>
            <family val="2"/>
          </rPr>
          <t xml:space="preserve">중</t>
        </r>
        <r>
          <rPr>
            <sz val="10"/>
            <rFont val="Arial"/>
            <family val="2"/>
          </rPr>
          <t xml:space="preserve">2 3</t>
        </r>
        <r>
          <rPr>
            <sz val="10"/>
            <rFont val="WenQuanYi Zen Hei"/>
            <family val="2"/>
          </rPr>
          <t xml:space="preserve">차 고</t>
        </r>
        <r>
          <rPr>
            <sz val="10"/>
            <rFont val="Arial"/>
            <family val="2"/>
          </rPr>
          <t xml:space="preserve">2 </t>
        </r>
        <r>
          <rPr>
            <sz val="10"/>
            <rFont val="WenQuanYi Zen Hei"/>
            <family val="2"/>
          </rPr>
          <t xml:space="preserve">모의고사</t>
        </r>
      </text>
    </comment>
    <comment ref="C9" authorId="0">
      <text>
        <r>
          <rPr>
            <sz val="10"/>
            <rFont val="WenQuanYi Zen Hei"/>
            <family val="2"/>
          </rPr>
          <t xml:space="preserve">중</t>
        </r>
        <r>
          <rPr>
            <sz val="10"/>
            <rFont val="Arial"/>
            <family val="2"/>
          </rPr>
          <t xml:space="preserve">3 3</t>
        </r>
        <r>
          <rPr>
            <sz val="10"/>
            <rFont val="WenQuanYi Zen Hei"/>
            <family val="2"/>
          </rPr>
          <t xml:space="preserve">차 고</t>
        </r>
        <r>
          <rPr>
            <sz val="10"/>
            <rFont val="Arial"/>
            <family val="2"/>
          </rPr>
          <t xml:space="preserve">3 </t>
        </r>
        <r>
          <rPr>
            <sz val="10"/>
            <rFont val="WenQuanYi Zen Hei"/>
            <family val="2"/>
          </rPr>
          <t xml:space="preserve">모의고사</t>
        </r>
      </text>
    </comment>
    <comment ref="D5" authorId="0">
      <text>
        <r>
          <rPr>
            <sz val="10"/>
            <rFont val="WenQuanYi Zen Hei"/>
            <family val="2"/>
          </rPr>
          <t xml:space="preserve">중</t>
        </r>
        <r>
          <rPr>
            <sz val="10"/>
            <rFont val="Arial"/>
            <family val="2"/>
          </rPr>
          <t xml:space="preserve">1 1</t>
        </r>
        <r>
          <rPr>
            <sz val="10"/>
            <rFont val="WenQuanYi Zen Hei"/>
            <family val="2"/>
          </rPr>
          <t xml:space="preserve">차 고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WenQuanYi Zen Hei"/>
            <family val="2"/>
          </rPr>
          <t xml:space="preserve">모의고사</t>
        </r>
      </text>
    </comment>
    <comment ref="D6" authorId="0">
      <text>
        <r>
          <rPr>
            <sz val="10"/>
            <rFont val="WenQuanYi Zen Hei"/>
            <family val="2"/>
          </rPr>
          <t xml:space="preserve">중</t>
        </r>
        <r>
          <rPr>
            <sz val="10"/>
            <rFont val="Arial"/>
            <family val="2"/>
          </rPr>
          <t xml:space="preserve">1 4</t>
        </r>
        <r>
          <rPr>
            <sz val="10"/>
            <rFont val="WenQuanYi Zen Hei"/>
            <family val="2"/>
          </rPr>
          <t xml:space="preserve">차 고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WenQuanYi Zen Hei"/>
            <family val="2"/>
          </rPr>
          <t xml:space="preserve">모의고사</t>
        </r>
      </text>
    </comment>
    <comment ref="D7" authorId="0">
      <text>
        <r>
          <rPr>
            <sz val="10"/>
            <rFont val="WenQuanYi Zen Hei"/>
            <family val="2"/>
          </rPr>
          <t xml:space="preserve">중</t>
        </r>
        <r>
          <rPr>
            <sz val="10"/>
            <rFont val="Arial"/>
            <family val="2"/>
          </rPr>
          <t xml:space="preserve">2 1</t>
        </r>
        <r>
          <rPr>
            <sz val="10"/>
            <rFont val="WenQuanYi Zen Hei"/>
            <family val="2"/>
          </rPr>
          <t xml:space="preserve">차 고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WenQuanYi Zen Hei"/>
            <family val="2"/>
          </rPr>
          <t xml:space="preserve">모의고사</t>
        </r>
      </text>
    </comment>
    <comment ref="D8" authorId="0">
      <text>
        <r>
          <rPr>
            <sz val="10"/>
            <rFont val="WenQuanYi Zen Hei"/>
            <family val="2"/>
          </rPr>
          <t xml:space="preserve">중</t>
        </r>
        <r>
          <rPr>
            <sz val="10"/>
            <rFont val="Arial"/>
            <family val="2"/>
          </rPr>
          <t xml:space="preserve">2 3</t>
        </r>
        <r>
          <rPr>
            <sz val="10"/>
            <rFont val="WenQuanYi Zen Hei"/>
            <family val="2"/>
          </rPr>
          <t xml:space="preserve">차 고</t>
        </r>
        <r>
          <rPr>
            <sz val="10"/>
            <rFont val="Arial"/>
            <family val="2"/>
          </rPr>
          <t xml:space="preserve">2 </t>
        </r>
        <r>
          <rPr>
            <sz val="10"/>
            <rFont val="WenQuanYi Zen Hei"/>
            <family val="2"/>
          </rPr>
          <t xml:space="preserve">모의고사</t>
        </r>
      </text>
    </comment>
    <comment ref="D9" authorId="0">
      <text>
        <r>
          <rPr>
            <sz val="10"/>
            <rFont val="WenQuanYi Zen Hei"/>
            <family val="2"/>
          </rPr>
          <t xml:space="preserve">중</t>
        </r>
        <r>
          <rPr>
            <sz val="10"/>
            <rFont val="Arial"/>
            <family val="2"/>
          </rPr>
          <t xml:space="preserve">2 3</t>
        </r>
        <r>
          <rPr>
            <sz val="10"/>
            <rFont val="WenQuanYi Zen Hei"/>
            <family val="2"/>
          </rPr>
          <t xml:space="preserve">차 고</t>
        </r>
        <r>
          <rPr>
            <sz val="10"/>
            <rFont val="Arial"/>
            <family val="2"/>
          </rPr>
          <t xml:space="preserve">2 </t>
        </r>
        <r>
          <rPr>
            <sz val="10"/>
            <rFont val="WenQuanYi Zen Hei"/>
            <family val="2"/>
          </rPr>
          <t xml:space="preserve">모의고사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0" authorId="0">
      <text>
        <r>
          <rPr>
            <sz val="10"/>
            <rFont val="WenQuanYi Zen Hei"/>
            <family val="2"/>
          </rPr>
          <t xml:space="preserve">기말고사 기간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성적표 작성 시점 미반영</t>
        </r>
        <r>
          <rPr>
            <sz val="10"/>
            <rFont val="Arial"/>
            <family val="2"/>
          </rPr>
          <t xml:space="preserve">)</t>
        </r>
      </text>
    </comment>
    <comment ref="N9" authorId="0">
      <text>
        <r>
          <rPr>
            <sz val="10"/>
            <rFont val="WenQuanYi Zen Hei"/>
            <family val="2"/>
          </rPr>
          <t xml:space="preserve">기말고사 기간으로 미응시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7" authorId="0">
      <text>
        <r>
          <rPr>
            <sz val="10"/>
            <rFont val="WenQuanYi Zen Hei"/>
            <family val="2"/>
          </rPr>
          <t xml:space="preserve">학기 표기 없음</t>
        </r>
      </text>
    </comment>
    <comment ref="E38" authorId="0">
      <text>
        <r>
          <rPr>
            <sz val="10"/>
            <rFont val="WenQuanYi Zen Hei"/>
            <family val="2"/>
          </rPr>
          <t xml:space="preserve">학기 표기 없음</t>
        </r>
      </text>
    </comment>
    <comment ref="E39" authorId="0">
      <text>
        <r>
          <rPr>
            <sz val="10"/>
            <rFont val="WenQuanYi Zen Hei"/>
            <family val="2"/>
          </rPr>
          <t xml:space="preserve">학기 표기 없음</t>
        </r>
      </text>
    </comment>
    <comment ref="E40" authorId="0">
      <text>
        <r>
          <rPr>
            <sz val="10"/>
            <rFont val="WenQuanYi Zen Hei"/>
            <family val="2"/>
          </rPr>
          <t xml:space="preserve">학기 표기 없음</t>
        </r>
      </text>
    </comment>
    <comment ref="F37" authorId="0">
      <text>
        <r>
          <rPr>
            <sz val="10"/>
            <rFont val="WenQuanYi Zen Hei"/>
            <family val="2"/>
          </rPr>
          <t xml:space="preserve">학기 표기 없음</t>
        </r>
      </text>
    </comment>
    <comment ref="F38" authorId="0">
      <text>
        <r>
          <rPr>
            <sz val="10"/>
            <rFont val="WenQuanYi Zen Hei"/>
            <family val="2"/>
          </rPr>
          <t xml:space="preserve">학기 표기 없음</t>
        </r>
      </text>
    </comment>
    <comment ref="F39" authorId="0">
      <text>
        <r>
          <rPr>
            <sz val="10"/>
            <rFont val="WenQuanYi Zen Hei"/>
            <family val="2"/>
          </rPr>
          <t xml:space="preserve">학기 표기 없음</t>
        </r>
      </text>
    </comment>
    <comment ref="F40" authorId="0">
      <text>
        <r>
          <rPr>
            <sz val="10"/>
            <rFont val="WenQuanYi Zen Hei"/>
            <family val="2"/>
          </rPr>
          <t xml:space="preserve">학기 표기 없음</t>
        </r>
      </text>
    </comment>
    <comment ref="G37" authorId="0">
      <text>
        <r>
          <rPr>
            <sz val="10"/>
            <rFont val="WenQuanYi Zen Hei"/>
            <family val="2"/>
          </rPr>
          <t xml:space="preserve">학기 표기 없음</t>
        </r>
      </text>
    </comment>
    <comment ref="G38" authorId="0">
      <text>
        <r>
          <rPr>
            <sz val="10"/>
            <rFont val="WenQuanYi Zen Hei"/>
            <family val="2"/>
          </rPr>
          <t xml:space="preserve">학기 표기 없음</t>
        </r>
      </text>
    </comment>
    <comment ref="G39" authorId="0">
      <text>
        <r>
          <rPr>
            <sz val="10"/>
            <rFont val="WenQuanYi Zen Hei"/>
            <family val="2"/>
          </rPr>
          <t xml:space="preserve">학기 표기 없음</t>
        </r>
      </text>
    </comment>
    <comment ref="G40" authorId="0">
      <text>
        <r>
          <rPr>
            <sz val="10"/>
            <rFont val="WenQuanYi Zen Hei"/>
            <family val="2"/>
          </rPr>
          <t xml:space="preserve">학기 표기 없음</t>
        </r>
      </text>
    </comment>
  </commentList>
</comments>
</file>

<file path=xl/sharedStrings.xml><?xml version="1.0" encoding="utf-8"?>
<sst xmlns="http://schemas.openxmlformats.org/spreadsheetml/2006/main" count="309" uniqueCount="89">
  <si>
    <r>
      <rPr>
        <b val="true"/>
        <sz val="14"/>
        <rFont val="WenQuanYi Zen Hei"/>
        <family val="2"/>
      </rPr>
      <t xml:space="preserve">이사벨 반 모의고사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내신 성적 분석</t>
    </r>
  </si>
  <si>
    <r>
      <rPr>
        <sz val="9"/>
        <color rgb="FF666666"/>
        <rFont val="Arial"/>
        <family val="0"/>
        <charset val="1"/>
      </rPr>
      <t xml:space="preserve">Metta </t>
    </r>
    <r>
      <rPr>
        <sz val="9"/>
        <color rgb="FF666666"/>
        <rFont val="WenQuanYi Zen Hei"/>
        <family val="2"/>
      </rPr>
      <t xml:space="preserve">영어 전문학원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WenQuanYi Zen Hei"/>
        <family val="2"/>
      </rPr>
      <t xml:space="preserve">성적표 사진</t>
    </r>
    <r>
      <rPr>
        <sz val="9"/>
        <color rgb="FF666666"/>
        <rFont val="Arial"/>
        <family val="0"/>
        <charset val="1"/>
      </rPr>
      <t xml:space="preserve">(2020–2026)</t>
    </r>
    <r>
      <rPr>
        <sz val="9"/>
        <color rgb="FF666666"/>
        <rFont val="WenQuanYi Zen Hei"/>
        <family val="2"/>
      </rPr>
      <t xml:space="preserve">에서 옮긴 자료</t>
    </r>
  </si>
  <si>
    <t xml:space="preserve">시트 구성</t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</si>
  <si>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반 비교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세 반을 같은 단계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첫 시험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첫 고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모의고사 등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에서 비교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</si>
  <si>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김건희반</t>
    </r>
    <r>
      <rPr>
        <sz val="11"/>
        <rFont val="Arial"/>
        <family val="0"/>
        <charset val="1"/>
      </rPr>
      <t xml:space="preserve">_2020: 2020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상위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1~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(2020–2022),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내신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</si>
  <si>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구성관반</t>
    </r>
    <r>
      <rPr>
        <sz val="11"/>
        <rFont val="Arial"/>
        <family val="0"/>
        <charset val="1"/>
      </rPr>
      <t xml:space="preserve">_2023: 2023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반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1~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3 3</t>
    </r>
    <r>
      <rPr>
        <sz val="11"/>
        <rFont val="WenQuanYi Zen Hei"/>
        <family val="2"/>
      </rPr>
      <t xml:space="preserve">차 고</t>
    </r>
    <r>
      <rPr>
        <sz val="11"/>
        <rFont val="Arial"/>
        <family val="0"/>
        <charset val="1"/>
      </rPr>
      <t xml:space="preserve">3 (2023–2025),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1~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내신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</si>
  <si>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이서연반</t>
    </r>
    <r>
      <rPr>
        <sz val="11"/>
        <rFont val="Arial"/>
        <family val="0"/>
        <charset val="1"/>
      </rPr>
      <t xml:space="preserve">_2025: 2025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반 중 </t>
    </r>
    <r>
      <rPr>
        <sz val="11"/>
        <rFont val="Arial"/>
        <family val="0"/>
        <charset val="1"/>
      </rPr>
      <t xml:space="preserve">2026</t>
    </r>
    <r>
      <rPr>
        <sz val="11"/>
        <rFont val="WenQuanYi Zen Hei"/>
        <family val="2"/>
      </rPr>
      <t xml:space="preserve">년까지 다닌 </t>
    </r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1~4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1~3</t>
    </r>
    <r>
      <rPr>
        <sz val="11"/>
        <rFont val="WenQuanYi Zen Hei"/>
        <family val="2"/>
      </rPr>
      <t xml:space="preserve">차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1·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내신</t>
    </r>
  </si>
  <si>
    <t xml:space="preserve">읽는 법</t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</si>
  <si>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파란 글씨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성적표에서 옮긴 값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수정 가능</t>
    </r>
    <r>
      <rPr>
        <sz val="11"/>
        <rFont val="Arial"/>
        <family val="0"/>
        <charset val="1"/>
      </rPr>
      <t xml:space="preserve">) · </t>
    </r>
    <r>
      <rPr>
        <sz val="11"/>
        <rFont val="WenQuanYi Zen Hei"/>
        <family val="2"/>
      </rPr>
      <t xml:space="preserve">검은 글씨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계산식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초록 글씨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다른 시트에서 가져온 값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</si>
  <si>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듣기 </t>
    </r>
    <r>
      <rPr>
        <sz val="11"/>
        <rFont val="Arial"/>
        <family val="0"/>
        <charset val="1"/>
      </rPr>
      <t xml:space="preserve">17</t>
    </r>
    <r>
      <rPr>
        <sz val="11"/>
        <rFont val="WenQuanYi Zen Hei"/>
        <family val="2"/>
      </rPr>
      <t xml:space="preserve">문항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독해 </t>
    </r>
    <r>
      <rPr>
        <sz val="11"/>
        <rFont val="Arial"/>
        <family val="0"/>
        <charset val="1"/>
      </rPr>
      <t xml:space="preserve">28</t>
    </r>
    <r>
      <rPr>
        <sz val="11"/>
        <rFont val="WenQuanYi Zen Hei"/>
        <family val="2"/>
      </rPr>
      <t xml:space="preserve">문항 기준 맞은 개수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총점 </t>
    </r>
    <r>
      <rPr>
        <sz val="11"/>
        <rFont val="Arial"/>
        <family val="0"/>
        <charset val="1"/>
      </rPr>
      <t xml:space="preserve">100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절대평가 등급</t>
    </r>
    <r>
      <rPr>
        <sz val="11"/>
        <rFont val="Arial"/>
        <family val="0"/>
        <charset val="1"/>
      </rPr>
      <t xml:space="preserve">(90</t>
    </r>
    <r>
      <rPr>
        <sz val="11"/>
        <rFont val="WenQuanYi Zen Hei"/>
        <family val="2"/>
      </rPr>
      <t xml:space="preserve">점 이상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등급</t>
    </r>
    <r>
      <rPr>
        <sz val="11"/>
        <rFont val="Arial"/>
        <family val="0"/>
        <charset val="1"/>
      </rPr>
      <t xml:space="preserve">, 10</t>
    </r>
    <r>
      <rPr>
        <sz val="11"/>
        <rFont val="WenQuanYi Zen Hei"/>
        <family val="2"/>
      </rPr>
      <t xml:space="preserve">점 단위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</si>
  <si>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빈칸은 성적표에 기록이 없거나 미응시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메모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빨간 삼각형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에 이유를 적어 두었습니다</t>
    </r>
    <r>
      <rPr>
        <sz val="11"/>
        <rFont val="Arial"/>
        <family val="0"/>
        <charset val="1"/>
      </rPr>
      <t xml:space="preserve">.</t>
    </r>
  </si>
  <si>
    <t xml:space="preserve">참고</t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</si>
  <si>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김건희반 중</t>
    </r>
    <r>
      <rPr>
        <sz val="11"/>
        <rFont val="Arial"/>
        <family val="0"/>
        <charset val="1"/>
      </rPr>
      <t xml:space="preserve">2 1·2</t>
    </r>
    <r>
      <rPr>
        <sz val="11"/>
        <rFont val="WenQuanYi Zen Hei"/>
        <family val="2"/>
      </rPr>
      <t xml:space="preserve">차는 성적표에 시험 수준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1/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2) </t>
    </r>
    <r>
      <rPr>
        <sz val="11"/>
        <rFont val="WenQuanYi Zen Hei"/>
        <family val="2"/>
      </rPr>
      <t xml:space="preserve">표기가 없습니다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</si>
  <si>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구성관반 내신은 학기 표기가 없어 </t>
    </r>
    <r>
      <rPr>
        <sz val="11"/>
        <rFont val="Arial"/>
        <family val="0"/>
        <charset val="1"/>
      </rPr>
      <t xml:space="preserve">"</t>
    </r>
    <r>
      <rPr>
        <sz val="11"/>
        <rFont val="WenQuanYi Zen Hei"/>
        <family val="2"/>
      </rPr>
      <t xml:space="preserve">중간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기말</t>
    </r>
    <r>
      <rPr>
        <sz val="11"/>
        <rFont val="Arial"/>
        <family val="0"/>
        <charset val="1"/>
      </rPr>
      <t xml:space="preserve">"</t>
    </r>
    <r>
      <rPr>
        <sz val="11"/>
        <rFont val="WenQuanYi Zen Hei"/>
        <family val="2"/>
      </rPr>
      <t xml:space="preserve">로만 적었습니다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3 4</t>
    </r>
    <r>
      <rPr>
        <sz val="11"/>
        <rFont val="WenQuanYi Zen Hei"/>
        <family val="2"/>
      </rPr>
      <t xml:space="preserve">차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3)</t>
    </r>
    <r>
      <rPr>
        <sz val="11"/>
        <rFont val="WenQuanYi Zen Hei"/>
        <family val="2"/>
      </rPr>
      <t xml:space="preserve">는 아직 기록이 없습니다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3 2</t>
    </r>
    <r>
      <rPr>
        <sz val="11"/>
        <rFont val="WenQuanYi Zen Hei"/>
        <family val="2"/>
      </rPr>
      <t xml:space="preserve">차 구성관 총점은 성적표 두 장에 </t>
    </r>
    <r>
      <rPr>
        <sz val="11"/>
        <rFont val="Arial"/>
        <family val="0"/>
        <charset val="1"/>
      </rPr>
      <t xml:space="preserve">92/93</t>
    </r>
    <r>
      <rPr>
        <sz val="11"/>
        <rFont val="WenQuanYi Zen Hei"/>
        <family val="2"/>
      </rPr>
      <t xml:space="preserve">점으로 달라 </t>
    </r>
    <r>
      <rPr>
        <sz val="11"/>
        <rFont val="Arial"/>
        <family val="0"/>
        <charset val="1"/>
      </rPr>
      <t xml:space="preserve">92</t>
    </r>
    <r>
      <rPr>
        <sz val="11"/>
        <rFont val="WenQuanYi Zen Hei"/>
        <family val="2"/>
      </rPr>
      <t xml:space="preserve">점을 사용했습니다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</si>
  <si>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이서연반은 현재 중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라 고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모의고사가 없습니다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한재승</t>
    </r>
    <r>
      <rPr>
        <sz val="11"/>
        <rFont val="Arial"/>
        <family val="0"/>
        <charset val="1"/>
      </rPr>
      <t xml:space="preserve">(2026 </t>
    </r>
    <r>
      <rPr>
        <sz val="11"/>
        <rFont val="WenQuanYi Zen Hei"/>
        <family val="2"/>
      </rPr>
      <t xml:space="preserve">합류</t>
    </r>
    <r>
      <rPr>
        <sz val="11"/>
        <rFont val="Arial"/>
        <family val="0"/>
        <charset val="1"/>
      </rPr>
      <t xml:space="preserve">), </t>
    </r>
    <r>
      <rPr>
        <sz val="11"/>
        <rFont val="WenQuanYi Zen Hei"/>
        <family val="2"/>
      </rPr>
      <t xml:space="preserve">김은혜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구승준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김가민</t>
    </r>
    <r>
      <rPr>
        <sz val="11"/>
        <rFont val="Arial"/>
        <family val="0"/>
        <charset val="1"/>
      </rPr>
      <t xml:space="preserve">(2026 </t>
    </r>
    <r>
      <rPr>
        <sz val="11"/>
        <rFont val="WenQuanYi Zen Hei"/>
        <family val="2"/>
      </rPr>
      <t xml:space="preserve">미등록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은 제외했습니다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</si>
  <si>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구성관반 김의현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최리원</t>
    </r>
    <r>
      <rPr>
        <sz val="11"/>
        <rFont val="Arial"/>
        <family val="0"/>
        <charset val="1"/>
      </rPr>
      <t xml:space="preserve">(2023 1</t>
    </r>
    <r>
      <rPr>
        <sz val="11"/>
        <rFont val="WenQuanYi Zen Hei"/>
        <family val="2"/>
      </rPr>
      <t xml:space="preserve">차만 응시</t>
    </r>
    <r>
      <rPr>
        <sz val="11"/>
        <rFont val="Arial"/>
        <family val="0"/>
        <charset val="1"/>
      </rPr>
      <t xml:space="preserve">), </t>
    </r>
    <r>
      <rPr>
        <sz val="11"/>
        <rFont val="WenQuanYi Zen Hei"/>
        <family val="2"/>
      </rPr>
      <t xml:space="preserve">백시우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신상훈</t>
    </r>
    <r>
      <rPr>
        <sz val="11"/>
        <rFont val="Arial"/>
        <family val="0"/>
        <charset val="1"/>
      </rPr>
      <t xml:space="preserve">(2025 </t>
    </r>
    <r>
      <rPr>
        <sz val="11"/>
        <rFont val="WenQuanYi Zen Hei"/>
        <family val="2"/>
      </rPr>
      <t xml:space="preserve">합류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은 제외했습니다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</si>
  <si>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반별 같은 단계 비교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평균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</si>
  <si>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666666"/>
        <rFont val="WenQuanYi Zen Hei"/>
        <family val="2"/>
      </rPr>
      <t xml:space="preserve">초록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각 반 시트의 평균 행을 가져온 값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중</t>
    </r>
    <r>
      <rPr>
        <sz val="9"/>
        <color rgb="FF666666"/>
        <rFont val="Arial"/>
        <family val="0"/>
        <charset val="1"/>
      </rPr>
      <t xml:space="preserve">2 3</t>
    </r>
    <r>
      <rPr>
        <sz val="9"/>
        <color rgb="FF666666"/>
        <rFont val="WenQuanYi Zen Hei"/>
        <family val="2"/>
      </rPr>
      <t xml:space="preserve">차는 세 반 모두 처음 본 고</t>
    </r>
    <r>
      <rPr>
        <sz val="9"/>
        <color rgb="FF666666"/>
        <rFont val="Arial"/>
        <family val="0"/>
        <charset val="1"/>
      </rPr>
      <t xml:space="preserve">2 </t>
    </r>
    <r>
      <rPr>
        <sz val="9"/>
        <color rgb="FF666666"/>
        <rFont val="WenQuanYi Zen Hei"/>
        <family val="2"/>
      </rPr>
      <t xml:space="preserve">모의고사입니다</t>
    </r>
    <r>
      <rPr>
        <sz val="9"/>
        <color rgb="FF666666"/>
        <rFont val="Arial"/>
        <family val="0"/>
        <charset val="1"/>
      </rPr>
      <t xml:space="preserve">.</t>
    </r>
  </si>
  <si>
    <t xml:space="preserve">총점 평균</t>
  </si>
  <si>
    <r>
      <rPr>
        <b val="true"/>
        <sz val="11"/>
        <rFont val="Arial"/>
        <family val="0"/>
        <charset val="1"/>
      </rPr>
      <t xml:space="preserve">2020 </t>
    </r>
    <r>
      <rPr>
        <b val="true"/>
        <sz val="11"/>
        <rFont val="WenQuanYi Zen Hei"/>
        <family val="2"/>
      </rPr>
      <t xml:space="preserve">김건희 반</t>
    </r>
  </si>
  <si>
    <r>
      <rPr>
        <b val="true"/>
        <sz val="11"/>
        <rFont val="Arial"/>
        <family val="0"/>
        <charset val="1"/>
      </rPr>
      <t xml:space="preserve">2023 </t>
    </r>
    <r>
      <rPr>
        <b val="true"/>
        <sz val="11"/>
        <rFont val="WenQuanYi Zen Hei"/>
        <family val="2"/>
      </rPr>
      <t xml:space="preserve">구성관 반</t>
    </r>
  </si>
  <si>
    <r>
      <rPr>
        <b val="true"/>
        <sz val="11"/>
        <rFont val="Arial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이서연 반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</si>
  <si>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첫 시험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1)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</si>
  <si>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마지막 시험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</si>
  <si>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첫 시험</t>
    </r>
  </si>
  <si>
    <r>
      <rPr>
        <b val="true"/>
        <sz val="11"/>
        <rFont val="WenQuanYi Zen Hei"/>
        <family val="2"/>
      </rPr>
      <t xml:space="preserve">첫 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2 3</t>
    </r>
    <r>
      <rPr>
        <b val="true"/>
        <sz val="11"/>
        <rFont val="WenQuanYi Zen Hei"/>
        <family val="2"/>
      </rPr>
      <t xml:space="preserve">차</t>
    </r>
    <r>
      <rPr>
        <b val="true"/>
        <sz val="11"/>
        <rFont val="Arial"/>
        <family val="0"/>
        <charset val="1"/>
      </rPr>
      <t xml:space="preserve">)</t>
    </r>
  </si>
  <si>
    <t xml:space="preserve">가장 최근 시험</t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</si>
  <si>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첫 시험 → 첫 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 변화</t>
    </r>
  </si>
  <si>
    <r>
      <rPr>
        <b val="true"/>
        <sz val="11"/>
        <rFont val="WenQuanYi Zen Hei"/>
        <family val="2"/>
      </rPr>
      <t xml:space="preserve">독해 평균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맞은 개수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</si>
  <si>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4"/>
        <rFont val="Arial"/>
        <family val="0"/>
        <charset val="1"/>
      </rPr>
      <t xml:space="preserve">2020 </t>
    </r>
    <r>
      <rPr>
        <b val="true"/>
        <sz val="14"/>
        <rFont val="WenQuanYi Zen Hei"/>
        <family val="2"/>
      </rPr>
      <t xml:space="preserve">중</t>
    </r>
    <r>
      <rPr>
        <b val="true"/>
        <sz val="14"/>
        <rFont val="Arial"/>
        <family val="0"/>
        <charset val="1"/>
      </rPr>
      <t xml:space="preserve">1 </t>
    </r>
    <r>
      <rPr>
        <b val="true"/>
        <sz val="14"/>
        <rFont val="WenQuanYi Zen Hei"/>
        <family val="2"/>
      </rPr>
      <t xml:space="preserve">반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김건희 반</t>
    </r>
    <r>
      <rPr>
        <b val="true"/>
        <sz val="14"/>
        <rFont val="Arial"/>
        <family val="0"/>
        <charset val="1"/>
      </rPr>
      <t xml:space="preserve">) · </t>
    </r>
    <r>
      <rPr>
        <b val="true"/>
        <sz val="14"/>
        <rFont val="WenQuanYi Zen Hei"/>
        <family val="2"/>
      </rPr>
      <t xml:space="preserve">모의고사 성적 </t>
    </r>
    <r>
      <rPr>
        <b val="true"/>
        <sz val="14"/>
        <rFont val="Arial"/>
        <family val="0"/>
        <charset val="1"/>
      </rPr>
      <t xml:space="preserve">(2020–2022)</t>
    </r>
  </si>
  <si>
    <r>
      <rPr>
        <sz val="9"/>
        <color rgb="FF666666"/>
        <rFont val="WenQuanYi Zen Hei"/>
        <family val="2"/>
      </rPr>
      <t xml:space="preserve">반</t>
    </r>
    <r>
      <rPr>
        <sz val="9"/>
        <color rgb="FF666666"/>
        <rFont val="Arial"/>
        <family val="0"/>
        <charset val="1"/>
      </rPr>
      <t xml:space="preserve">: 1M-A → 2M-A → 3M-A · </t>
    </r>
    <r>
      <rPr>
        <sz val="9"/>
        <color rgb="FF666666"/>
        <rFont val="WenQuanYi Zen Hei"/>
        <family val="2"/>
      </rPr>
      <t xml:space="preserve">파란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성적표 사진에서 옮긴 입력값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검은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계산식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빈칸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기록 없음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미응시</t>
    </r>
    <r>
      <rPr>
        <sz val="9"/>
        <color rgb="FF666666"/>
        <rFont val="Arial"/>
        <family val="0"/>
        <charset val="1"/>
      </rPr>
      <t xml:space="preserve">.</t>
    </r>
  </si>
  <si>
    <t xml:space="preserve">총점</t>
  </si>
  <si>
    <t xml:space="preserve">학생</t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</si>
  <si>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1 1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</si>
  <si>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1 2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</si>
  <si>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1 3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</si>
  <si>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1 4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</si>
  <si>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1 5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</si>
  <si>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2 1</t>
    </r>
    <r>
      <rPr>
        <b val="true"/>
        <sz val="11"/>
        <rFont val="WenQuanYi Zen Hei"/>
        <family val="2"/>
      </rPr>
      <t xml:space="preserve">차
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</si>
  <si>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2 2</t>
    </r>
    <r>
      <rPr>
        <b val="true"/>
        <sz val="11"/>
        <rFont val="WenQuanYi Zen Hei"/>
        <family val="2"/>
      </rPr>
      <t xml:space="preserve">차
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</si>
  <si>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2 3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</si>
  <si>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2 4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</si>
  <si>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3 1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</si>
  <si>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3 2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</si>
  <si>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3 3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3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</si>
  <si>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3 4</t>
    </r>
    <r>
      <rPr>
        <b val="true"/>
        <sz val="11"/>
        <rFont val="WenQuanYi Zen Hei"/>
        <family val="2"/>
      </rPr>
      <t xml:space="preserve">차
수능</t>
    </r>
  </si>
  <si>
    <t xml:space="preserve">첫 시험</t>
  </si>
  <si>
    <t xml:space="preserve">마지막 시험</t>
  </si>
  <si>
    <t xml:space="preserve">변화</t>
  </si>
  <si>
    <t xml:space="preserve">최고</t>
  </si>
  <si>
    <t xml:space="preserve">김건희</t>
  </si>
  <si>
    <t xml:space="preserve">안도후</t>
  </si>
  <si>
    <t xml:space="preserve">안동휘</t>
  </si>
  <si>
    <t xml:space="preserve">나민하</t>
  </si>
  <si>
    <t xml:space="preserve">평균</t>
  </si>
  <si>
    <t xml:space="preserve">등급</t>
  </si>
  <si>
    <r>
      <rPr>
        <b val="true"/>
        <sz val="11"/>
        <rFont val="WenQuanYi Zen Hei"/>
        <family val="2"/>
      </rPr>
      <t xml:space="preserve">듣기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맞은 개수 </t>
    </r>
    <r>
      <rPr>
        <b val="true"/>
        <sz val="11"/>
        <rFont val="Arial"/>
        <family val="0"/>
        <charset val="1"/>
      </rPr>
      <t xml:space="preserve">/ 17)</t>
    </r>
  </si>
  <si>
    <r>
      <rPr>
        <b val="true"/>
        <sz val="11"/>
        <rFont val="WenQuanYi Zen Hei"/>
        <family val="2"/>
      </rPr>
      <t xml:space="preserve">독해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맞은 개수 </t>
    </r>
    <r>
      <rPr>
        <b val="true"/>
        <sz val="11"/>
        <rFont val="Arial"/>
        <family val="0"/>
        <charset val="1"/>
      </rPr>
      <t xml:space="preserve">/ 28)</t>
    </r>
  </si>
  <si>
    <r>
      <rPr>
        <b val="true"/>
        <sz val="11"/>
        <rFont val="WenQuanYi Zen Hei"/>
        <family val="2"/>
      </rPr>
      <t xml:space="preserve">학교 내신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영어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</si>
  <si>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(2022)
1</t>
    </r>
    <r>
      <rPr>
        <b val="true"/>
        <sz val="11"/>
        <rFont val="WenQuanYi Zen Hei"/>
        <family val="2"/>
      </rPr>
      <t xml:space="preserve">학기 중간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</si>
  <si>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(2022)
1</t>
    </r>
    <r>
      <rPr>
        <b val="true"/>
        <sz val="11"/>
        <rFont val="WenQuanYi Zen Hei"/>
        <family val="2"/>
      </rPr>
      <t xml:space="preserve">학기 기말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</si>
  <si>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(2022)
2</t>
    </r>
    <r>
      <rPr>
        <b val="true"/>
        <sz val="11"/>
        <rFont val="WenQuanYi Zen Hei"/>
        <family val="2"/>
      </rPr>
      <t xml:space="preserve">학기 중간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</si>
  <si>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(2022)
2</t>
    </r>
    <r>
      <rPr>
        <b val="true"/>
        <sz val="11"/>
        <rFont val="WenQuanYi Zen Hei"/>
        <family val="2"/>
      </rPr>
      <t xml:space="preserve">학기 기말</t>
    </r>
  </si>
  <si>
    <r>
      <rPr>
        <b val="true"/>
        <sz val="14"/>
        <rFont val="Arial"/>
        <family val="0"/>
        <charset val="1"/>
      </rPr>
      <t xml:space="preserve">2023 </t>
    </r>
    <r>
      <rPr>
        <b val="true"/>
        <sz val="14"/>
        <rFont val="WenQuanYi Zen Hei"/>
        <family val="2"/>
      </rPr>
      <t xml:space="preserve">중</t>
    </r>
    <r>
      <rPr>
        <b val="true"/>
        <sz val="14"/>
        <rFont val="Arial"/>
        <family val="0"/>
        <charset val="1"/>
      </rPr>
      <t xml:space="preserve">1 </t>
    </r>
    <r>
      <rPr>
        <b val="true"/>
        <sz val="14"/>
        <rFont val="WenQuanYi Zen Hei"/>
        <family val="2"/>
      </rPr>
      <t xml:space="preserve">반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구성관 반</t>
    </r>
    <r>
      <rPr>
        <b val="true"/>
        <sz val="14"/>
        <rFont val="Arial"/>
        <family val="0"/>
        <charset val="1"/>
      </rPr>
      <t xml:space="preserve">) · </t>
    </r>
    <r>
      <rPr>
        <b val="true"/>
        <sz val="14"/>
        <rFont val="WenQuanYi Zen Hei"/>
        <family val="2"/>
      </rPr>
      <t xml:space="preserve">모의고사 성적 </t>
    </r>
    <r>
      <rPr>
        <b val="true"/>
        <sz val="14"/>
        <rFont val="Arial"/>
        <family val="0"/>
        <charset val="1"/>
      </rPr>
      <t xml:space="preserve">(2023–2025)</t>
    </r>
  </si>
  <si>
    <r>
      <rPr>
        <sz val="9"/>
        <color rgb="FF666666"/>
        <rFont val="WenQuanYi Zen Hei"/>
        <family val="2"/>
      </rPr>
      <t xml:space="preserve">반</t>
    </r>
    <r>
      <rPr>
        <sz val="9"/>
        <color rgb="FF666666"/>
        <rFont val="Arial"/>
        <family val="0"/>
        <charset val="1"/>
      </rPr>
      <t xml:space="preserve">: 1M-S → 2M-S → 3M-S · </t>
    </r>
    <r>
      <rPr>
        <sz val="9"/>
        <color rgb="FF666666"/>
        <rFont val="WenQuanYi Zen Hei"/>
        <family val="2"/>
      </rPr>
      <t xml:space="preserve">파란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성적표 사진에서 옮긴 입력값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검은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계산식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빈칸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기록 없음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미응시</t>
    </r>
    <r>
      <rPr>
        <sz val="9"/>
        <color rgb="FF666666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</si>
  <si>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2 1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</si>
  <si>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2 2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</t>
    </r>
  </si>
  <si>
    <t xml:space="preserve">구성관</t>
  </si>
  <si>
    <t xml:space="preserve">송지효</t>
  </si>
  <si>
    <t xml:space="preserve">신준섭</t>
  </si>
  <si>
    <t xml:space="preserve">박주연</t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</si>
  <si>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(2025)
1</t>
    </r>
    <r>
      <rPr>
        <b val="true"/>
        <sz val="11"/>
        <rFont val="WenQuanYi Zen Hei"/>
        <family val="2"/>
      </rPr>
      <t xml:space="preserve">학기 중간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</si>
  <si>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(2025)
1</t>
    </r>
    <r>
      <rPr>
        <b val="true"/>
        <sz val="11"/>
        <rFont val="WenQuanYi Zen Hei"/>
        <family val="2"/>
      </rPr>
      <t xml:space="preserve">학기 기말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</si>
  <si>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(2025)
2</t>
    </r>
    <r>
      <rPr>
        <b val="true"/>
        <sz val="11"/>
        <rFont val="WenQuanYi Zen Hei"/>
        <family val="2"/>
      </rPr>
      <t xml:space="preserve">학기 중간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</si>
  <si>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(2023)
</t>
    </r>
    <r>
      <rPr>
        <b val="true"/>
        <sz val="11"/>
        <rFont val="WenQuanYi Zen Hei"/>
        <family val="2"/>
      </rPr>
      <t xml:space="preserve">중간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</si>
  <si>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(2023)
</t>
    </r>
    <r>
      <rPr>
        <b val="true"/>
        <sz val="11"/>
        <rFont val="WenQuanYi Zen Hei"/>
        <family val="2"/>
      </rPr>
      <t xml:space="preserve">기말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</si>
  <si>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(2024)
</t>
    </r>
    <r>
      <rPr>
        <b val="true"/>
        <sz val="11"/>
        <rFont val="WenQuanYi Zen Hei"/>
        <family val="2"/>
      </rPr>
      <t xml:space="preserve">기말</t>
    </r>
  </si>
  <si>
    <r>
      <rPr>
        <b val="true"/>
        <sz val="14"/>
        <rFont val="Arial"/>
        <family val="0"/>
        <charset val="1"/>
      </rPr>
      <t xml:space="preserve">2025 </t>
    </r>
    <r>
      <rPr>
        <b val="true"/>
        <sz val="14"/>
        <rFont val="WenQuanYi Zen Hei"/>
        <family val="2"/>
      </rPr>
      <t xml:space="preserve">중</t>
    </r>
    <r>
      <rPr>
        <b val="true"/>
        <sz val="14"/>
        <rFont val="Arial"/>
        <family val="0"/>
        <charset val="1"/>
      </rPr>
      <t xml:space="preserve">1 </t>
    </r>
    <r>
      <rPr>
        <b val="true"/>
        <sz val="14"/>
        <rFont val="WenQuanYi Zen Hei"/>
        <family val="2"/>
      </rPr>
      <t xml:space="preserve">반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이서연 반</t>
    </r>
    <r>
      <rPr>
        <b val="true"/>
        <sz val="14"/>
        <rFont val="Arial"/>
        <family val="0"/>
        <charset val="1"/>
      </rPr>
      <t xml:space="preserve">) · </t>
    </r>
    <r>
      <rPr>
        <b val="true"/>
        <sz val="14"/>
        <rFont val="WenQuanYi Zen Hei"/>
        <family val="2"/>
      </rPr>
      <t xml:space="preserve">모의고사 성적 </t>
    </r>
    <r>
      <rPr>
        <b val="true"/>
        <sz val="14"/>
        <rFont val="Arial"/>
        <family val="0"/>
        <charset val="1"/>
      </rPr>
      <t xml:space="preserve">(2025–2026)</t>
    </r>
  </si>
  <si>
    <r>
      <rPr>
        <sz val="9"/>
        <color rgb="FF666666"/>
        <rFont val="WenQuanYi Zen Hei"/>
        <family val="2"/>
      </rPr>
      <t xml:space="preserve">반</t>
    </r>
    <r>
      <rPr>
        <sz val="9"/>
        <color rgb="FF666666"/>
        <rFont val="Arial"/>
        <family val="0"/>
        <charset val="1"/>
      </rPr>
      <t xml:space="preserve">: 1M-A → 2M-A · </t>
    </r>
    <r>
      <rPr>
        <sz val="9"/>
        <color rgb="FF666666"/>
        <rFont val="WenQuanYi Zen Hei"/>
        <family val="2"/>
      </rPr>
      <t xml:space="preserve">파란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성적표 사진에서 옮긴 입력값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검은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계산식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빈칸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기록 없음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미응시</t>
    </r>
    <r>
      <rPr>
        <sz val="9"/>
        <color rgb="FF666666"/>
        <rFont val="Arial"/>
        <family val="0"/>
        <charset val="1"/>
      </rPr>
      <t xml:space="preserve">.</t>
    </r>
  </si>
  <si>
    <t xml:space="preserve">김지수</t>
  </si>
  <si>
    <t xml:space="preserve">김채율</t>
  </si>
  <si>
    <t xml:space="preserve">이서연</t>
  </si>
  <si>
    <t xml:space="preserve">황재성</t>
  </si>
  <si>
    <t xml:space="preserve">서예준</t>
  </si>
  <si>
    <t xml:space="preserve">이시원</t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</si>
  <si>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(2025)
2</t>
    </r>
    <r>
      <rPr>
        <b val="true"/>
        <sz val="11"/>
        <rFont val="WenQuanYi Zen Hei"/>
        <family val="2"/>
      </rPr>
      <t xml:space="preserve">학기 중간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</si>
  <si>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(2026)
1</t>
    </r>
    <r>
      <rPr>
        <b val="true"/>
        <sz val="11"/>
        <rFont val="WenQuanYi Zen Hei"/>
        <family val="2"/>
      </rPr>
      <t xml:space="preserve">학기 중간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</si>
  <si>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(2026)
1</t>
    </r>
    <r>
      <rPr>
        <b val="true"/>
        <sz val="11"/>
        <rFont val="WenQuanYi Zen Hei"/>
        <family val="2"/>
      </rPr>
      <t xml:space="preserve">학기 기말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</si>
  <si>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(2026)
2</t>
    </r>
    <r>
      <rPr>
        <b val="true"/>
        <sz val="11"/>
        <rFont val="WenQuanYi Zen Hei"/>
        <family val="2"/>
      </rPr>
      <t xml:space="preserve">학기 중간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</si>
</sst>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\+0.0;\-0.0;0.0"/>
    <numFmt numFmtId="167" formatCode="General"/>
    <numFmt numFmtId="168" formatCode="\+0;\-0;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sz val="9"/>
      <color rgb="FF666666"/>
      <name val="Arial"/>
      <family val="0"/>
      <charset val="1"/>
    </font>
    <font>
      <sz val="9"/>
      <color rgb="FF666666"/>
      <name val="WenQuanYi Zen Hei"/>
      <family val="2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sz val="11"/>
      <name val="WenQuanYi Zen Hei"/>
      <family val="2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0"/>
      <color rgb="FF00000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DE7E4"/>
        <bgColor rgb="FFD9D9D9"/>
      </patternFill>
    </fill>
    <fill>
      <patternFill patternType="solid">
        <fgColor rgb="FFF2F2F2"/>
        <bgColor rgb="FFDDE7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E4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59240"/>
      <rgbColor rgb="FFFF6600"/>
      <rgbColor rgb="FF7D5FA0"/>
      <rgbColor rgb="FF9BBB59"/>
      <rgbColor rgb="FF003366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단계별 반 평균 총점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'반 비교'!B4</c:f>
              <c:strCache>
                <c:ptCount val="1"/>
                <c:pt idx="0">
                  <c:v>2020 김건희 반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'반 비교'!$A$5:$A$9</c:f>
              <c:strCache>
                <c:ptCount val="5"/>
                <c:pt idx="0">
                  <c:v>중1 첫 시험 (고1)</c:v>
                </c:pt>
                <c:pt idx="1">
                  <c:v>중1 마지막 시험</c:v>
                </c:pt>
                <c:pt idx="2">
                  <c:v>중2 첫 시험</c:v>
                </c:pt>
                <c:pt idx="3">
                  <c:v>첫 고2 모의고사 (중2 3차)</c:v>
                </c:pt>
                <c:pt idx="4">
                  <c:v>가장 최근 시험</c:v>
                </c:pt>
              </c:strCache>
            </c:strRef>
          </c:cat>
          <c:val>
            <c:numRef>
              <c:f>'반 비교'!$B$5:$B$9</c:f>
              <c:numCache>
                <c:formatCode>0.0</c:formatCode>
                <c:ptCount val="5"/>
                <c:pt idx="0">
                  <c:v>62.75</c:v>
                </c:pt>
                <c:pt idx="1">
                  <c:v>78.5</c:v>
                </c:pt>
                <c:pt idx="2">
                  <c:v>79</c:v>
                </c:pt>
                <c:pt idx="3">
                  <c:v>83.25</c:v>
                </c:pt>
                <c:pt idx="4">
                  <c:v>87.6666666666667</c:v>
                </c:pt>
              </c:numCache>
            </c:numRef>
          </c:val>
        </c:ser>
        <c:ser>
          <c:idx val="1"/>
          <c:order val="1"/>
          <c:tx>
            <c:strRef>
              <c:f>'반 비교'!C4</c:f>
              <c:strCache>
                <c:ptCount val="1"/>
                <c:pt idx="0">
                  <c:v>2023 구성관 반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'반 비교'!$A$5:$A$9</c:f>
              <c:strCache>
                <c:ptCount val="5"/>
                <c:pt idx="0">
                  <c:v>중1 첫 시험 (고1)</c:v>
                </c:pt>
                <c:pt idx="1">
                  <c:v>중1 마지막 시험</c:v>
                </c:pt>
                <c:pt idx="2">
                  <c:v>중2 첫 시험</c:v>
                </c:pt>
                <c:pt idx="3">
                  <c:v>첫 고2 모의고사 (중2 3차)</c:v>
                </c:pt>
                <c:pt idx="4">
                  <c:v>가장 최근 시험</c:v>
                </c:pt>
              </c:strCache>
            </c:strRef>
          </c:cat>
          <c:val>
            <c:numRef>
              <c:f>'반 비교'!$C$5:$C$9</c:f>
              <c:numCache>
                <c:formatCode>0.0</c:formatCode>
                <c:ptCount val="5"/>
                <c:pt idx="0">
                  <c:v>67</c:v>
                </c:pt>
                <c:pt idx="1">
                  <c:v>81.75</c:v>
                </c:pt>
                <c:pt idx="2">
                  <c:v>94.5</c:v>
                </c:pt>
                <c:pt idx="3">
                  <c:v>86</c:v>
                </c:pt>
                <c:pt idx="4">
                  <c:v>92.25</c:v>
                </c:pt>
              </c:numCache>
            </c:numRef>
          </c:val>
        </c:ser>
        <c:ser>
          <c:idx val="2"/>
          <c:order val="2"/>
          <c:tx>
            <c:strRef>
              <c:f>'반 비교'!D4</c:f>
              <c:strCache>
                <c:ptCount val="1"/>
                <c:pt idx="0">
                  <c:v>2025 이서연 반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'반 비교'!$A$5:$A$9</c:f>
              <c:strCache>
                <c:ptCount val="5"/>
                <c:pt idx="0">
                  <c:v>중1 첫 시험 (고1)</c:v>
                </c:pt>
                <c:pt idx="1">
                  <c:v>중1 마지막 시험</c:v>
                </c:pt>
                <c:pt idx="2">
                  <c:v>중2 첫 시험</c:v>
                </c:pt>
                <c:pt idx="3">
                  <c:v>첫 고2 모의고사 (중2 3차)</c:v>
                </c:pt>
                <c:pt idx="4">
                  <c:v>가장 최근 시험</c:v>
                </c:pt>
              </c:strCache>
            </c:strRef>
          </c:cat>
          <c:val>
            <c:numRef>
              <c:f>'반 비교'!$D$5:$D$9</c:f>
              <c:numCache>
                <c:formatCode>0.0</c:formatCode>
                <c:ptCount val="5"/>
                <c:pt idx="0">
                  <c:v>65</c:v>
                </c:pt>
                <c:pt idx="1">
                  <c:v>81.3333333333333</c:v>
                </c:pt>
                <c:pt idx="2">
                  <c:v>79</c:v>
                </c:pt>
                <c:pt idx="3">
                  <c:v>81.1666666666667</c:v>
                </c:pt>
                <c:pt idx="4">
                  <c:v>81.1666666666667</c:v>
                </c:pt>
              </c:numCache>
            </c:numRef>
          </c:val>
        </c:ser>
        <c:gapWidth val="150"/>
        <c:overlap val="0"/>
        <c:axId val="7107250"/>
        <c:axId val="49644599"/>
      </c:barChart>
      <c:catAx>
        <c:axId val="71072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44599"/>
        <c:crosses val="autoZero"/>
        <c:auto val="1"/>
        <c:lblAlgn val="ctr"/>
        <c:lblOffset val="100"/>
        <c:noMultiLvlLbl val="0"/>
      </c:catAx>
      <c:valAx>
        <c:axId val="49644599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72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총점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김건희반_2020!A6</c:f>
              <c:strCache>
                <c:ptCount val="1"/>
                <c:pt idx="0">
                  <c:v>김건희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김건희반_2020!$B$5:$N$5</c:f>
              <c:strCache>
                <c:ptCount val="13"/>
                <c:pt idx="0">
                  <c:v>중1 1차
고1</c:v>
                </c:pt>
                <c:pt idx="1">
                  <c:v>중1 2차
고1</c:v>
                </c:pt>
                <c:pt idx="2">
                  <c:v>중1 3차
고1</c:v>
                </c:pt>
                <c:pt idx="3">
                  <c:v>중1 4차
고1</c:v>
                </c:pt>
                <c:pt idx="4">
                  <c:v>중1 5차
고1</c:v>
                </c:pt>
                <c:pt idx="5">
                  <c:v>중2 1차
모의고사</c:v>
                </c:pt>
                <c:pt idx="6">
                  <c:v>중2 2차
모의고사</c:v>
                </c:pt>
                <c:pt idx="7">
                  <c:v>중2 3차
고2</c:v>
                </c:pt>
                <c:pt idx="8">
                  <c:v>중2 4차
고2</c:v>
                </c:pt>
                <c:pt idx="9">
                  <c:v>중3 1차
고2</c:v>
                </c:pt>
                <c:pt idx="10">
                  <c:v>중3 2차
고2</c:v>
                </c:pt>
                <c:pt idx="11">
                  <c:v>중3 3차
고3</c:v>
                </c:pt>
                <c:pt idx="12">
                  <c:v>중3 4차
수능</c:v>
                </c:pt>
              </c:strCache>
            </c:strRef>
          </c:cat>
          <c:val>
            <c:numRef>
              <c:f>김건희반_2020!$B$6:$N$6</c:f>
              <c:numCache>
                <c:formatCode>General</c:formatCode>
                <c:ptCount val="13"/>
                <c:pt idx="0">
                  <c:v>69</c:v>
                </c:pt>
                <c:pt idx="1">
                  <c:v>75</c:v>
                </c:pt>
                <c:pt idx="2">
                  <c:v>76</c:v>
                </c:pt>
                <c:pt idx="3">
                  <c:v>90</c:v>
                </c:pt>
                <c:pt idx="4">
                  <c:v>73</c:v>
                </c:pt>
                <c:pt idx="5">
                  <c:v>82</c:v>
                </c:pt>
                <c:pt idx="6">
                  <c:v>95</c:v>
                </c:pt>
                <c:pt idx="7">
                  <c:v>87</c:v>
                </c:pt>
                <c:pt idx="8">
                  <c:v>86</c:v>
                </c:pt>
                <c:pt idx="9">
                  <c:v>80</c:v>
                </c:pt>
                <c:pt idx="10">
                  <c:v>84</c:v>
                </c:pt>
                <c:pt idx="11">
                  <c:v>86</c:v>
                </c:pt>
                <c:pt idx="12">
                  <c:v>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김건희반_2020!A7</c:f>
              <c:strCache>
                <c:ptCount val="1"/>
                <c:pt idx="0">
                  <c:v>안도후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김건희반_2020!$B$5:$N$5</c:f>
              <c:strCache>
                <c:ptCount val="13"/>
                <c:pt idx="0">
                  <c:v>중1 1차
고1</c:v>
                </c:pt>
                <c:pt idx="1">
                  <c:v>중1 2차
고1</c:v>
                </c:pt>
                <c:pt idx="2">
                  <c:v>중1 3차
고1</c:v>
                </c:pt>
                <c:pt idx="3">
                  <c:v>중1 4차
고1</c:v>
                </c:pt>
                <c:pt idx="4">
                  <c:v>중1 5차
고1</c:v>
                </c:pt>
                <c:pt idx="5">
                  <c:v>중2 1차
모의고사</c:v>
                </c:pt>
                <c:pt idx="6">
                  <c:v>중2 2차
모의고사</c:v>
                </c:pt>
                <c:pt idx="7">
                  <c:v>중2 3차
고2</c:v>
                </c:pt>
                <c:pt idx="8">
                  <c:v>중2 4차
고2</c:v>
                </c:pt>
                <c:pt idx="9">
                  <c:v>중3 1차
고2</c:v>
                </c:pt>
                <c:pt idx="10">
                  <c:v>중3 2차
고2</c:v>
                </c:pt>
                <c:pt idx="11">
                  <c:v>중3 3차
고3</c:v>
                </c:pt>
                <c:pt idx="12">
                  <c:v>중3 4차
수능</c:v>
                </c:pt>
              </c:strCache>
            </c:strRef>
          </c:cat>
          <c:val>
            <c:numRef>
              <c:f>김건희반_2020!$B$7:$N$7</c:f>
              <c:numCache>
                <c:formatCode>General</c:formatCode>
                <c:ptCount val="13"/>
                <c:pt idx="0">
                  <c:v>67</c:v>
                </c:pt>
                <c:pt idx="1">
                  <c:v>66</c:v>
                </c:pt>
                <c:pt idx="2">
                  <c:v>72</c:v>
                </c:pt>
                <c:pt idx="3">
                  <c:v>81</c:v>
                </c:pt>
                <c:pt idx="4">
                  <c:v>84</c:v>
                </c:pt>
                <c:pt idx="5">
                  <c:v>83</c:v>
                </c:pt>
                <c:pt idx="6">
                  <c:v>93</c:v>
                </c:pt>
                <c:pt idx="7">
                  <c:v>82</c:v>
                </c:pt>
                <c:pt idx="8">
                  <c:v>77</c:v>
                </c:pt>
                <c:pt idx="9">
                  <c:v>79</c:v>
                </c:pt>
                <c:pt idx="10">
                  <c:v>80</c:v>
                </c:pt>
                <c:pt idx="11">
                  <c:v>88</c:v>
                </c:pt>
                <c:pt idx="12">
                  <c:v>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김건희반_2020!A8</c:f>
              <c:strCache>
                <c:ptCount val="1"/>
                <c:pt idx="0">
                  <c:v>안동휘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김건희반_2020!$B$5:$N$5</c:f>
              <c:strCache>
                <c:ptCount val="13"/>
                <c:pt idx="0">
                  <c:v>중1 1차
고1</c:v>
                </c:pt>
                <c:pt idx="1">
                  <c:v>중1 2차
고1</c:v>
                </c:pt>
                <c:pt idx="2">
                  <c:v>중1 3차
고1</c:v>
                </c:pt>
                <c:pt idx="3">
                  <c:v>중1 4차
고1</c:v>
                </c:pt>
                <c:pt idx="4">
                  <c:v>중1 5차
고1</c:v>
                </c:pt>
                <c:pt idx="5">
                  <c:v>중2 1차
모의고사</c:v>
                </c:pt>
                <c:pt idx="6">
                  <c:v>중2 2차
모의고사</c:v>
                </c:pt>
                <c:pt idx="7">
                  <c:v>중2 3차
고2</c:v>
                </c:pt>
                <c:pt idx="8">
                  <c:v>중2 4차
고2</c:v>
                </c:pt>
                <c:pt idx="9">
                  <c:v>중3 1차
고2</c:v>
                </c:pt>
                <c:pt idx="10">
                  <c:v>중3 2차
고2</c:v>
                </c:pt>
                <c:pt idx="11">
                  <c:v>중3 3차
고3</c:v>
                </c:pt>
                <c:pt idx="12">
                  <c:v>중3 4차
수능</c:v>
                </c:pt>
              </c:strCache>
            </c:strRef>
          </c:cat>
          <c:val>
            <c:numRef>
              <c:f>김건희반_2020!$B$8:$N$8</c:f>
              <c:numCache>
                <c:formatCode>General</c:formatCode>
                <c:ptCount val="13"/>
                <c:pt idx="0">
                  <c:v>58</c:v>
                </c:pt>
                <c:pt idx="1">
                  <c:v>73</c:v>
                </c:pt>
                <c:pt idx="2">
                  <c:v>75</c:v>
                </c:pt>
                <c:pt idx="3">
                  <c:v>78</c:v>
                </c:pt>
                <c:pt idx="4">
                  <c:v>77</c:v>
                </c:pt>
                <c:pt idx="5">
                  <c:v>77</c:v>
                </c:pt>
                <c:pt idx="6">
                  <c:v>90</c:v>
                </c:pt>
                <c:pt idx="7">
                  <c:v>80</c:v>
                </c:pt>
                <c:pt idx="8">
                  <c:v>81</c:v>
                </c:pt>
                <c:pt idx="9">
                  <c:v>91</c:v>
                </c:pt>
                <c:pt idx="10">
                  <c:v>87</c:v>
                </c:pt>
                <c:pt idx="11">
                  <c:v>93</c:v>
                </c:pt>
                <c:pt idx="12">
                  <c:v>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김건희반_2020!A9</c:f>
              <c:strCache>
                <c:ptCount val="1"/>
                <c:pt idx="0">
                  <c:v>나민하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5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김건희반_2020!$B$5:$N$5</c:f>
              <c:strCache>
                <c:ptCount val="13"/>
                <c:pt idx="0">
                  <c:v>중1 1차
고1</c:v>
                </c:pt>
                <c:pt idx="1">
                  <c:v>중1 2차
고1</c:v>
                </c:pt>
                <c:pt idx="2">
                  <c:v>중1 3차
고1</c:v>
                </c:pt>
                <c:pt idx="3">
                  <c:v>중1 4차
고1</c:v>
                </c:pt>
                <c:pt idx="4">
                  <c:v>중1 5차
고1</c:v>
                </c:pt>
                <c:pt idx="5">
                  <c:v>중2 1차
모의고사</c:v>
                </c:pt>
                <c:pt idx="6">
                  <c:v>중2 2차
모의고사</c:v>
                </c:pt>
                <c:pt idx="7">
                  <c:v>중2 3차
고2</c:v>
                </c:pt>
                <c:pt idx="8">
                  <c:v>중2 4차
고2</c:v>
                </c:pt>
                <c:pt idx="9">
                  <c:v>중3 1차
고2</c:v>
                </c:pt>
                <c:pt idx="10">
                  <c:v>중3 2차
고2</c:v>
                </c:pt>
                <c:pt idx="11">
                  <c:v>중3 3차
고3</c:v>
                </c:pt>
                <c:pt idx="12">
                  <c:v>중3 4차
수능</c:v>
                </c:pt>
              </c:strCache>
            </c:strRef>
          </c:cat>
          <c:val>
            <c:numRef>
              <c:f>김건희반_2020!$B$9:$N$9</c:f>
              <c:numCache>
                <c:formatCode>General</c:formatCode>
                <c:ptCount val="13"/>
                <c:pt idx="0">
                  <c:v>57</c:v>
                </c:pt>
                <c:pt idx="1">
                  <c:v>79</c:v>
                </c:pt>
                <c:pt idx="2">
                  <c:v>76</c:v>
                </c:pt>
                <c:pt idx="3">
                  <c:v>71</c:v>
                </c:pt>
                <c:pt idx="4">
                  <c:v>80</c:v>
                </c:pt>
                <c:pt idx="5">
                  <c:v>74</c:v>
                </c:pt>
                <c:pt idx="6">
                  <c:v>87</c:v>
                </c:pt>
                <c:pt idx="7">
                  <c:v>84</c:v>
                </c:pt>
                <c:pt idx="8">
                  <c:v>89</c:v>
                </c:pt>
                <c:pt idx="9">
                  <c:v>74</c:v>
                </c:pt>
                <c:pt idx="10">
                  <c:v>86</c:v>
                </c:pt>
                <c:pt idx="11">
                  <c:v>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357016"/>
        <c:axId val="73525037"/>
      </c:lineChart>
      <c:catAx>
        <c:axId val="71357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25037"/>
        <c:crosses val="autoZero"/>
        <c:auto val="1"/>
        <c:lblAlgn val="ctr"/>
        <c:lblOffset val="100"/>
        <c:noMultiLvlLbl val="0"/>
      </c:catAx>
      <c:valAx>
        <c:axId val="73525037"/>
        <c:scaling>
          <c:orientation val="minMax"/>
          <c:max val="100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총점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570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총점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구성관반_2023!A6</c:f>
              <c:strCache>
                <c:ptCount val="1"/>
                <c:pt idx="0">
                  <c:v>구성관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구성관반_2023!$B$5:$M$5</c:f>
              <c:strCache>
                <c:ptCount val="12"/>
                <c:pt idx="0">
                  <c:v>중1 1차
고1</c:v>
                </c:pt>
                <c:pt idx="1">
                  <c:v>중1 2차
고1</c:v>
                </c:pt>
                <c:pt idx="2">
                  <c:v>중1 3차
고1</c:v>
                </c:pt>
                <c:pt idx="3">
                  <c:v>중1 4차
고1</c:v>
                </c:pt>
                <c:pt idx="4">
                  <c:v>중1 5차
고1</c:v>
                </c:pt>
                <c:pt idx="5">
                  <c:v>중2 1차
고1</c:v>
                </c:pt>
                <c:pt idx="6">
                  <c:v>중2 2차
고1</c:v>
                </c:pt>
                <c:pt idx="7">
                  <c:v>중2 3차
고2</c:v>
                </c:pt>
                <c:pt idx="8">
                  <c:v>중2 4차
고2</c:v>
                </c:pt>
                <c:pt idx="9">
                  <c:v>중3 1차
고2</c:v>
                </c:pt>
                <c:pt idx="10">
                  <c:v>중3 2차
고2</c:v>
                </c:pt>
                <c:pt idx="11">
                  <c:v>중3 3차
고3</c:v>
                </c:pt>
              </c:strCache>
            </c:strRef>
          </c:cat>
          <c:val>
            <c:numRef>
              <c:f>구성관반_2023!$B$6:$M$6</c:f>
              <c:numCache>
                <c:formatCode>General</c:formatCode>
                <c:ptCount val="12"/>
                <c:pt idx="0">
                  <c:v>71</c:v>
                </c:pt>
                <c:pt idx="1">
                  <c:v>72</c:v>
                </c:pt>
                <c:pt idx="2">
                  <c:v>73</c:v>
                </c:pt>
                <c:pt idx="3">
                  <c:v>83</c:v>
                </c:pt>
                <c:pt idx="4">
                  <c:v>83</c:v>
                </c:pt>
                <c:pt idx="5">
                  <c:v>96</c:v>
                </c:pt>
                <c:pt idx="6">
                  <c:v>97</c:v>
                </c:pt>
                <c:pt idx="7">
                  <c:v>89</c:v>
                </c:pt>
                <c:pt idx="8">
                  <c:v>100</c:v>
                </c:pt>
                <c:pt idx="9">
                  <c:v>95</c:v>
                </c:pt>
                <c:pt idx="10">
                  <c:v>92</c:v>
                </c:pt>
                <c:pt idx="11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구성관반_2023!A7</c:f>
              <c:strCache>
                <c:ptCount val="1"/>
                <c:pt idx="0">
                  <c:v>송지효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구성관반_2023!$B$5:$M$5</c:f>
              <c:strCache>
                <c:ptCount val="12"/>
                <c:pt idx="0">
                  <c:v>중1 1차
고1</c:v>
                </c:pt>
                <c:pt idx="1">
                  <c:v>중1 2차
고1</c:v>
                </c:pt>
                <c:pt idx="2">
                  <c:v>중1 3차
고1</c:v>
                </c:pt>
                <c:pt idx="3">
                  <c:v>중1 4차
고1</c:v>
                </c:pt>
                <c:pt idx="4">
                  <c:v>중1 5차
고1</c:v>
                </c:pt>
                <c:pt idx="5">
                  <c:v>중2 1차
고1</c:v>
                </c:pt>
                <c:pt idx="6">
                  <c:v>중2 2차
고1</c:v>
                </c:pt>
                <c:pt idx="7">
                  <c:v>중2 3차
고2</c:v>
                </c:pt>
                <c:pt idx="8">
                  <c:v>중2 4차
고2</c:v>
                </c:pt>
                <c:pt idx="9">
                  <c:v>중3 1차
고2</c:v>
                </c:pt>
                <c:pt idx="10">
                  <c:v>중3 2차
고2</c:v>
                </c:pt>
                <c:pt idx="11">
                  <c:v>중3 3차
고3</c:v>
                </c:pt>
              </c:strCache>
            </c:strRef>
          </c:cat>
          <c:val>
            <c:numRef>
              <c:f>구성관반_2023!$B$7:$M$7</c:f>
              <c:numCache>
                <c:formatCode>General</c:formatCode>
                <c:ptCount val="12"/>
                <c:pt idx="0">
                  <c:v>58</c:v>
                </c:pt>
                <c:pt idx="1">
                  <c:v>81</c:v>
                </c:pt>
                <c:pt idx="2">
                  <c:v>81</c:v>
                </c:pt>
                <c:pt idx="3">
                  <c:v>92</c:v>
                </c:pt>
                <c:pt idx="4">
                  <c:v>94</c:v>
                </c:pt>
                <c:pt idx="5">
                  <c:v>100</c:v>
                </c:pt>
                <c:pt idx="6">
                  <c:v>94</c:v>
                </c:pt>
                <c:pt idx="7">
                  <c:v>92</c:v>
                </c:pt>
                <c:pt idx="8">
                  <c:v>84</c:v>
                </c:pt>
                <c:pt idx="9">
                  <c:v>95</c:v>
                </c:pt>
                <c:pt idx="10">
                  <c:v>95</c:v>
                </c:pt>
                <c:pt idx="11">
                  <c:v>100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구성관반_2023!A8</c:f>
              <c:strCache>
                <c:ptCount val="1"/>
                <c:pt idx="0">
                  <c:v>신준섭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구성관반_2023!$B$5:$M$5</c:f>
              <c:strCache>
                <c:ptCount val="12"/>
                <c:pt idx="0">
                  <c:v>중1 1차
고1</c:v>
                </c:pt>
                <c:pt idx="1">
                  <c:v>중1 2차
고1</c:v>
                </c:pt>
                <c:pt idx="2">
                  <c:v>중1 3차
고1</c:v>
                </c:pt>
                <c:pt idx="3">
                  <c:v>중1 4차
고1</c:v>
                </c:pt>
                <c:pt idx="4">
                  <c:v>중1 5차
고1</c:v>
                </c:pt>
                <c:pt idx="5">
                  <c:v>중2 1차
고1</c:v>
                </c:pt>
                <c:pt idx="6">
                  <c:v>중2 2차
고1</c:v>
                </c:pt>
                <c:pt idx="7">
                  <c:v>중2 3차
고2</c:v>
                </c:pt>
                <c:pt idx="8">
                  <c:v>중2 4차
고2</c:v>
                </c:pt>
                <c:pt idx="9">
                  <c:v>중3 1차
고2</c:v>
                </c:pt>
                <c:pt idx="10">
                  <c:v>중3 2차
고2</c:v>
                </c:pt>
                <c:pt idx="11">
                  <c:v>중3 3차
고3</c:v>
                </c:pt>
              </c:strCache>
            </c:strRef>
          </c:cat>
          <c:val>
            <c:numRef>
              <c:f>구성관반_2023!$B$8:$M$8</c:f>
              <c:numCache>
                <c:formatCode>General</c:formatCode>
                <c:ptCount val="12"/>
                <c:pt idx="0">
                  <c:v>70</c:v>
                </c:pt>
                <c:pt idx="1">
                  <c:v>74</c:v>
                </c:pt>
                <c:pt idx="2">
                  <c:v>70</c:v>
                </c:pt>
                <c:pt idx="3">
                  <c:v>75</c:v>
                </c:pt>
                <c:pt idx="4">
                  <c:v>75</c:v>
                </c:pt>
                <c:pt idx="5">
                  <c:v>90</c:v>
                </c:pt>
                <c:pt idx="6">
                  <c:v>79</c:v>
                </c:pt>
                <c:pt idx="7">
                  <c:v>94</c:v>
                </c:pt>
                <c:pt idx="8">
                  <c:v>77</c:v>
                </c:pt>
                <c:pt idx="9">
                  <c:v>89</c:v>
                </c:pt>
                <c:pt idx="10">
                  <c:v>74</c:v>
                </c:pt>
                <c:pt idx="11">
                  <c:v>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구성관반_2023!A9</c:f>
              <c:strCache>
                <c:ptCount val="1"/>
                <c:pt idx="0">
                  <c:v>박주연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5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구성관반_2023!$B$5:$M$5</c:f>
              <c:strCache>
                <c:ptCount val="12"/>
                <c:pt idx="0">
                  <c:v>중1 1차
고1</c:v>
                </c:pt>
                <c:pt idx="1">
                  <c:v>중1 2차
고1</c:v>
                </c:pt>
                <c:pt idx="2">
                  <c:v>중1 3차
고1</c:v>
                </c:pt>
                <c:pt idx="3">
                  <c:v>중1 4차
고1</c:v>
                </c:pt>
                <c:pt idx="4">
                  <c:v>중1 5차
고1</c:v>
                </c:pt>
                <c:pt idx="5">
                  <c:v>중2 1차
고1</c:v>
                </c:pt>
                <c:pt idx="6">
                  <c:v>중2 2차
고1</c:v>
                </c:pt>
                <c:pt idx="7">
                  <c:v>중2 3차
고2</c:v>
                </c:pt>
                <c:pt idx="8">
                  <c:v>중2 4차
고2</c:v>
                </c:pt>
                <c:pt idx="9">
                  <c:v>중3 1차
고2</c:v>
                </c:pt>
                <c:pt idx="10">
                  <c:v>중3 2차
고2</c:v>
                </c:pt>
                <c:pt idx="11">
                  <c:v>중3 3차
고3</c:v>
                </c:pt>
              </c:strCache>
            </c:strRef>
          </c:cat>
          <c:val>
            <c:numRef>
              <c:f>구성관반_2023!$B$9:$M$9</c:f>
              <c:numCache>
                <c:formatCode>General</c:formatCode>
                <c:ptCount val="12"/>
                <c:pt idx="0">
                  <c:v>69</c:v>
                </c:pt>
                <c:pt idx="1">
                  <c:v>65</c:v>
                </c:pt>
                <c:pt idx="2">
                  <c:v>71</c:v>
                </c:pt>
                <c:pt idx="3">
                  <c:v>84</c:v>
                </c:pt>
                <c:pt idx="4">
                  <c:v>75</c:v>
                </c:pt>
                <c:pt idx="5">
                  <c:v>92</c:v>
                </c:pt>
                <c:pt idx="6">
                  <c:v>86</c:v>
                </c:pt>
                <c:pt idx="7">
                  <c:v>69</c:v>
                </c:pt>
                <c:pt idx="8">
                  <c:v>70</c:v>
                </c:pt>
                <c:pt idx="9">
                  <c:v>89</c:v>
                </c:pt>
                <c:pt idx="10">
                  <c:v>85</c:v>
                </c:pt>
                <c:pt idx="11">
                  <c:v>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999170"/>
        <c:axId val="58728539"/>
      </c:lineChart>
      <c:catAx>
        <c:axId val="759991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28539"/>
        <c:crosses val="autoZero"/>
        <c:auto val="1"/>
        <c:lblAlgn val="ctr"/>
        <c:lblOffset val="100"/>
        <c:noMultiLvlLbl val="0"/>
      </c:catAx>
      <c:valAx>
        <c:axId val="58728539"/>
        <c:scaling>
          <c:orientation val="minMax"/>
          <c:max val="100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총점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991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총점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이서연반_2025!A6</c:f>
              <c:strCache>
                <c:ptCount val="1"/>
                <c:pt idx="0">
                  <c:v>김지수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이서연반_2025!$B$5:$H$5</c:f>
              <c:strCache>
                <c:ptCount val="7"/>
                <c:pt idx="0">
                  <c:v>중1 1차
고1</c:v>
                </c:pt>
                <c:pt idx="1">
                  <c:v>중1 2차
고1</c:v>
                </c:pt>
                <c:pt idx="2">
                  <c:v>중1 3차
고1</c:v>
                </c:pt>
                <c:pt idx="3">
                  <c:v>중1 4차
고1</c:v>
                </c:pt>
                <c:pt idx="4">
                  <c:v>중2 1차
고1</c:v>
                </c:pt>
                <c:pt idx="5">
                  <c:v>중2 2차
고1</c:v>
                </c:pt>
                <c:pt idx="6">
                  <c:v>중2 3차
고2</c:v>
                </c:pt>
              </c:strCache>
            </c:strRef>
          </c:cat>
          <c:val>
            <c:numRef>
              <c:f>이서연반_2025!$B$6:$H$6</c:f>
              <c:numCache>
                <c:formatCode>General</c:formatCode>
                <c:ptCount val="7"/>
                <c:pt idx="0">
                  <c:v>63</c:v>
                </c:pt>
                <c:pt idx="1">
                  <c:v>67</c:v>
                </c:pt>
                <c:pt idx="2">
                  <c:v>68</c:v>
                </c:pt>
                <c:pt idx="3">
                  <c:v>61</c:v>
                </c:pt>
                <c:pt idx="4">
                  <c:v>66</c:v>
                </c:pt>
                <c:pt idx="5">
                  <c:v>75</c:v>
                </c:pt>
                <c:pt idx="6">
                  <c:v>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이서연반_2025!A7</c:f>
              <c:strCache>
                <c:ptCount val="1"/>
                <c:pt idx="0">
                  <c:v>김채율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이서연반_2025!$B$5:$H$5</c:f>
              <c:strCache>
                <c:ptCount val="7"/>
                <c:pt idx="0">
                  <c:v>중1 1차
고1</c:v>
                </c:pt>
                <c:pt idx="1">
                  <c:v>중1 2차
고1</c:v>
                </c:pt>
                <c:pt idx="2">
                  <c:v>중1 3차
고1</c:v>
                </c:pt>
                <c:pt idx="3">
                  <c:v>중1 4차
고1</c:v>
                </c:pt>
                <c:pt idx="4">
                  <c:v>중2 1차
고1</c:v>
                </c:pt>
                <c:pt idx="5">
                  <c:v>중2 2차
고1</c:v>
                </c:pt>
                <c:pt idx="6">
                  <c:v>중2 3차
고2</c:v>
                </c:pt>
              </c:strCache>
            </c:strRef>
          </c:cat>
          <c:val>
            <c:numRef>
              <c:f>이서연반_2025!$B$7:$H$7</c:f>
              <c:numCache>
                <c:formatCode>General</c:formatCode>
                <c:ptCount val="7"/>
                <c:pt idx="0">
                  <c:v>59</c:v>
                </c:pt>
                <c:pt idx="1">
                  <c:v>86</c:v>
                </c:pt>
                <c:pt idx="2">
                  <c:v>76</c:v>
                </c:pt>
                <c:pt idx="3">
                  <c:v>78</c:v>
                </c:pt>
                <c:pt idx="4">
                  <c:v>87</c:v>
                </c:pt>
                <c:pt idx="5">
                  <c:v>73</c:v>
                </c:pt>
                <c:pt idx="6">
                  <c:v>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이서연반_2025!A8</c:f>
              <c:strCache>
                <c:ptCount val="1"/>
                <c:pt idx="0">
                  <c:v>이서연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이서연반_2025!$B$5:$H$5</c:f>
              <c:strCache>
                <c:ptCount val="7"/>
                <c:pt idx="0">
                  <c:v>중1 1차
고1</c:v>
                </c:pt>
                <c:pt idx="1">
                  <c:v>중1 2차
고1</c:v>
                </c:pt>
                <c:pt idx="2">
                  <c:v>중1 3차
고1</c:v>
                </c:pt>
                <c:pt idx="3">
                  <c:v>중1 4차
고1</c:v>
                </c:pt>
                <c:pt idx="4">
                  <c:v>중2 1차
고1</c:v>
                </c:pt>
                <c:pt idx="5">
                  <c:v>중2 2차
고1</c:v>
                </c:pt>
                <c:pt idx="6">
                  <c:v>중2 3차
고2</c:v>
                </c:pt>
              </c:strCache>
            </c:strRef>
          </c:cat>
          <c:val>
            <c:numRef>
              <c:f>이서연반_2025!$B$8:$H$8</c:f>
              <c:numCache>
                <c:formatCode>General</c:formatCode>
                <c:ptCount val="7"/>
                <c:pt idx="0">
                  <c:v>88</c:v>
                </c:pt>
                <c:pt idx="1">
                  <c:v>94</c:v>
                </c:pt>
                <c:pt idx="2">
                  <c:v>91</c:v>
                </c:pt>
                <c:pt idx="3">
                  <c:v>94</c:v>
                </c:pt>
                <c:pt idx="4">
                  <c:v>87</c:v>
                </c:pt>
                <c:pt idx="5">
                  <c:v>100</c:v>
                </c:pt>
                <c:pt idx="6">
                  <c:v>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이서연반_2025!A9</c:f>
              <c:strCache>
                <c:ptCount val="1"/>
                <c:pt idx="0">
                  <c:v>황재성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5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이서연반_2025!$B$5:$H$5</c:f>
              <c:strCache>
                <c:ptCount val="7"/>
                <c:pt idx="0">
                  <c:v>중1 1차
고1</c:v>
                </c:pt>
                <c:pt idx="1">
                  <c:v>중1 2차
고1</c:v>
                </c:pt>
                <c:pt idx="2">
                  <c:v>중1 3차
고1</c:v>
                </c:pt>
                <c:pt idx="3">
                  <c:v>중1 4차
고1</c:v>
                </c:pt>
                <c:pt idx="4">
                  <c:v>중2 1차
고1</c:v>
                </c:pt>
                <c:pt idx="5">
                  <c:v>중2 2차
고1</c:v>
                </c:pt>
                <c:pt idx="6">
                  <c:v>중2 3차
고2</c:v>
                </c:pt>
              </c:strCache>
            </c:strRef>
          </c:cat>
          <c:val>
            <c:numRef>
              <c:f>이서연반_2025!$B$9:$H$9</c:f>
              <c:numCache>
                <c:formatCode>General</c:formatCode>
                <c:ptCount val="7"/>
                <c:pt idx="0">
                  <c:v>67</c:v>
                </c:pt>
                <c:pt idx="1">
                  <c:v>74</c:v>
                </c:pt>
                <c:pt idx="2">
                  <c:v>71</c:v>
                </c:pt>
                <c:pt idx="3">
                  <c:v>91</c:v>
                </c:pt>
                <c:pt idx="4">
                  <c:v>88</c:v>
                </c:pt>
                <c:pt idx="5">
                  <c:v>74</c:v>
                </c:pt>
                <c:pt idx="6">
                  <c:v>82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이서연반_2025!A10</c:f>
              <c:strCache>
                <c:ptCount val="1"/>
                <c:pt idx="0">
                  <c:v>서예준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circle"/>
            <c:size val="5"/>
            <c:spPr>
              <a:solidFill>
                <a:srgbClr val="46aa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이서연반_2025!$B$5:$H$5</c:f>
              <c:strCache>
                <c:ptCount val="7"/>
                <c:pt idx="0">
                  <c:v>중1 1차
고1</c:v>
                </c:pt>
                <c:pt idx="1">
                  <c:v>중1 2차
고1</c:v>
                </c:pt>
                <c:pt idx="2">
                  <c:v>중1 3차
고1</c:v>
                </c:pt>
                <c:pt idx="3">
                  <c:v>중1 4차
고1</c:v>
                </c:pt>
                <c:pt idx="4">
                  <c:v>중2 1차
고1</c:v>
                </c:pt>
                <c:pt idx="5">
                  <c:v>중2 2차
고1</c:v>
                </c:pt>
                <c:pt idx="6">
                  <c:v>중2 3차
고2</c:v>
                </c:pt>
              </c:strCache>
            </c:strRef>
          </c:cat>
          <c:val>
            <c:numRef>
              <c:f>이서연반_2025!$B$10:$H$10</c:f>
              <c:numCache>
                <c:formatCode>General</c:formatCode>
                <c:ptCount val="7"/>
                <c:pt idx="0">
                  <c:v>51</c:v>
                </c:pt>
                <c:pt idx="1">
                  <c:v>57</c:v>
                </c:pt>
                <c:pt idx="2">
                  <c:v>68</c:v>
                </c:pt>
                <c:pt idx="3">
                  <c:v>86</c:v>
                </c:pt>
                <c:pt idx="4">
                  <c:v>73</c:v>
                </c:pt>
                <c:pt idx="5">
                  <c:v>82</c:v>
                </c:pt>
                <c:pt idx="6">
                  <c:v>80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이서연반_2025!A11</c:f>
              <c:strCache>
                <c:ptCount val="1"/>
                <c:pt idx="0">
                  <c:v>이시원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circle"/>
            <c:size val="5"/>
            <c:spPr>
              <a:solidFill>
                <a:srgbClr val="f592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이서연반_2025!$B$5:$H$5</c:f>
              <c:strCache>
                <c:ptCount val="7"/>
                <c:pt idx="0">
                  <c:v>중1 1차
고1</c:v>
                </c:pt>
                <c:pt idx="1">
                  <c:v>중1 2차
고1</c:v>
                </c:pt>
                <c:pt idx="2">
                  <c:v>중1 3차
고1</c:v>
                </c:pt>
                <c:pt idx="3">
                  <c:v>중1 4차
고1</c:v>
                </c:pt>
                <c:pt idx="4">
                  <c:v>중2 1차
고1</c:v>
                </c:pt>
                <c:pt idx="5">
                  <c:v>중2 2차
고1</c:v>
                </c:pt>
                <c:pt idx="6">
                  <c:v>중2 3차
고2</c:v>
                </c:pt>
              </c:strCache>
            </c:strRef>
          </c:cat>
          <c:val>
            <c:numRef>
              <c:f>이서연반_2025!$B$11:$H$11</c:f>
              <c:numCache>
                <c:formatCode>General</c:formatCode>
                <c:ptCount val="7"/>
                <c:pt idx="0">
                  <c:v>62</c:v>
                </c:pt>
                <c:pt idx="1">
                  <c:v>61</c:v>
                </c:pt>
                <c:pt idx="2">
                  <c:v>69</c:v>
                </c:pt>
                <c:pt idx="3">
                  <c:v>78</c:v>
                </c:pt>
                <c:pt idx="4">
                  <c:v>73</c:v>
                </c:pt>
                <c:pt idx="5">
                  <c:v>71</c:v>
                </c:pt>
                <c:pt idx="6">
                  <c:v>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623653"/>
        <c:axId val="91644827"/>
      </c:lineChart>
      <c:catAx>
        <c:axId val="286236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644827"/>
        <c:crosses val="autoZero"/>
        <c:auto val="1"/>
        <c:lblAlgn val="ctr"/>
        <c:lblOffset val="100"/>
        <c:noMultiLvlLbl val="0"/>
      </c:catAx>
      <c:valAx>
        <c:axId val="91644827"/>
        <c:scaling>
          <c:orientation val="minMax"/>
          <c:max val="100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총점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236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134640</xdr:rowOff>
    </xdr:from>
    <xdr:to>
      <xdr:col>16</xdr:col>
      <xdr:colOff>473040</xdr:colOff>
      <xdr:row>19</xdr:row>
      <xdr:rowOff>136080</xdr:rowOff>
    </xdr:to>
    <xdr:graphicFrame>
      <xdr:nvGraphicFramePr>
        <xdr:cNvPr id="0" name="Chart 1"/>
        <xdr:cNvGraphicFramePr/>
      </xdr:nvGraphicFramePr>
      <xdr:xfrm>
        <a:off x="681408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41</xdr:row>
      <xdr:rowOff>134640</xdr:rowOff>
    </xdr:from>
    <xdr:to>
      <xdr:col>9</xdr:col>
      <xdr:colOff>298080</xdr:colOff>
      <xdr:row>58</xdr:row>
      <xdr:rowOff>135720</xdr:rowOff>
    </xdr:to>
    <xdr:graphicFrame>
      <xdr:nvGraphicFramePr>
        <xdr:cNvPr id="1" name="Chart 1"/>
        <xdr:cNvGraphicFramePr/>
      </xdr:nvGraphicFramePr>
      <xdr:xfrm>
        <a:off x="0" y="9048600"/>
        <a:ext cx="7487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41</xdr:row>
      <xdr:rowOff>134640</xdr:rowOff>
    </xdr:from>
    <xdr:to>
      <xdr:col>8</xdr:col>
      <xdr:colOff>426960</xdr:colOff>
      <xdr:row>58</xdr:row>
      <xdr:rowOff>135720</xdr:rowOff>
    </xdr:to>
    <xdr:graphicFrame>
      <xdr:nvGraphicFramePr>
        <xdr:cNvPr id="2" name="Chart 1"/>
        <xdr:cNvGraphicFramePr/>
      </xdr:nvGraphicFramePr>
      <xdr:xfrm>
        <a:off x="0" y="9048600"/>
        <a:ext cx="6911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51</xdr:row>
      <xdr:rowOff>134640</xdr:rowOff>
    </xdr:from>
    <xdr:to>
      <xdr:col>7</xdr:col>
      <xdr:colOff>699840</xdr:colOff>
      <xdr:row>68</xdr:row>
      <xdr:rowOff>135720</xdr:rowOff>
    </xdr:to>
    <xdr:graphicFrame>
      <xdr:nvGraphicFramePr>
        <xdr:cNvPr id="3" name="Chart 1"/>
        <xdr:cNvGraphicFramePr/>
      </xdr:nvGraphicFramePr>
      <xdr:xfrm>
        <a:off x="0" y="109537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4" hidden="false" customHeight="false" outlineLevel="0" collapsed="false">
      <c r="A1" s="1" t="s">
        <v>0</v>
      </c>
    </row>
    <row r="2" customFormat="false" ht="13.4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4.9" hidden="false" customHeight="false" outlineLevel="0" collapsed="false">
      <c r="A5" s="3" t="s">
        <v>3</v>
      </c>
    </row>
    <row r="6" customFormat="false" ht="14.9" hidden="false" customHeight="false" outlineLevel="0" collapsed="false">
      <c r="A6" s="3" t="s">
        <v>4</v>
      </c>
    </row>
    <row r="7" customFormat="false" ht="14.9" hidden="false" customHeight="false" outlineLevel="0" collapsed="false">
      <c r="A7" s="3" t="s">
        <v>5</v>
      </c>
    </row>
    <row r="8" customFormat="false" ht="14.9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14.9" hidden="false" customHeight="false" outlineLevel="0" collapsed="false">
      <c r="A11" s="3" t="s">
        <v>8</v>
      </c>
    </row>
    <row r="12" customFormat="false" ht="14.9" hidden="false" customHeight="false" outlineLevel="0" collapsed="false">
      <c r="A12" s="3" t="s">
        <v>9</v>
      </c>
    </row>
    <row r="13" customFormat="false" ht="14.9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4.9" hidden="false" customHeight="false" outlineLevel="0" collapsed="false">
      <c r="A16" s="3" t="s">
        <v>12</v>
      </c>
    </row>
    <row r="17" customFormat="false" ht="14.9" hidden="false" customHeight="false" outlineLevel="0" collapsed="false">
      <c r="A17" s="3" t="s">
        <v>13</v>
      </c>
    </row>
    <row r="18" customFormat="false" ht="14.9" hidden="false" customHeight="false" outlineLevel="0" collapsed="false">
      <c r="A18" s="3" t="s">
        <v>14</v>
      </c>
    </row>
    <row r="19" customFormat="false" ht="14.9" hidden="false" customHeight="false" outlineLevel="0" collapsed="false">
      <c r="A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</cols>
  <sheetData>
    <row r="1" customFormat="false" ht="19.4" hidden="false" customHeight="false" outlineLevel="0" collapsed="false">
      <c r="A1" s="1" t="s">
        <v>16</v>
      </c>
    </row>
    <row r="2" customFormat="false" ht="15" hidden="false" customHeight="false" outlineLevel="0" collapsed="false">
      <c r="A2" s="5" t="s">
        <v>17</v>
      </c>
    </row>
    <row r="4" customFormat="false" ht="15" hidden="false" customHeight="false" outlineLevel="0" collapsed="false">
      <c r="A4" s="6" t="s">
        <v>18</v>
      </c>
      <c r="B4" s="7" t="s">
        <v>19</v>
      </c>
      <c r="C4" s="7" t="s">
        <v>20</v>
      </c>
      <c r="D4" s="7" t="s">
        <v>21</v>
      </c>
    </row>
    <row r="5" customFormat="false" ht="15" hidden="false" customHeight="false" outlineLevel="0" collapsed="false">
      <c r="A5" s="8" t="s">
        <v>22</v>
      </c>
      <c r="B5" s="9" t="n">
        <f aca="false">김건희반_2020!B10</f>
        <v>62.75</v>
      </c>
      <c r="C5" s="9" t="n">
        <f aca="false">구성관반_2023!B10</f>
        <v>67</v>
      </c>
      <c r="D5" s="9" t="n">
        <f aca="false">이서연반_2025!B12</f>
        <v>65</v>
      </c>
    </row>
    <row r="6" customFormat="false" ht="15" hidden="false" customHeight="false" outlineLevel="0" collapsed="false">
      <c r="A6" s="8" t="s">
        <v>23</v>
      </c>
      <c r="B6" s="9" t="n">
        <f aca="false">김건희반_2020!F10</f>
        <v>78.5</v>
      </c>
      <c r="C6" s="9" t="n">
        <f aca="false">구성관반_2023!F10</f>
        <v>81.75</v>
      </c>
      <c r="D6" s="9" t="n">
        <f aca="false">이서연반_2025!E12</f>
        <v>81.3333333333333</v>
      </c>
    </row>
    <row r="7" customFormat="false" ht="15" hidden="false" customHeight="false" outlineLevel="0" collapsed="false">
      <c r="A7" s="8" t="s">
        <v>24</v>
      </c>
      <c r="B7" s="9" t="n">
        <f aca="false">김건희반_2020!G10</f>
        <v>79</v>
      </c>
      <c r="C7" s="9" t="n">
        <f aca="false">구성관반_2023!G10</f>
        <v>94.5</v>
      </c>
      <c r="D7" s="9" t="n">
        <f aca="false">이서연반_2025!F12</f>
        <v>79</v>
      </c>
    </row>
    <row r="8" customFormat="false" ht="15" hidden="false" customHeight="false" outlineLevel="0" collapsed="false">
      <c r="A8" s="8" t="s">
        <v>25</v>
      </c>
      <c r="B8" s="9" t="n">
        <f aca="false">김건희반_2020!I10</f>
        <v>83.25</v>
      </c>
      <c r="C8" s="9" t="n">
        <f aca="false">구성관반_2023!I10</f>
        <v>86</v>
      </c>
      <c r="D8" s="9" t="n">
        <f aca="false">이서연반_2025!H12</f>
        <v>81.1666666666667</v>
      </c>
    </row>
    <row r="9" customFormat="false" ht="15" hidden="false" customHeight="false" outlineLevel="0" collapsed="false">
      <c r="A9" s="8" t="s">
        <v>26</v>
      </c>
      <c r="B9" s="9" t="n">
        <f aca="false">김건희반_2020!N10</f>
        <v>87.6666666666667</v>
      </c>
      <c r="C9" s="9" t="n">
        <f aca="false">구성관반_2023!M10</f>
        <v>92.25</v>
      </c>
      <c r="D9" s="9" t="n">
        <f aca="false">이서연반_2025!H12</f>
        <v>81.1666666666667</v>
      </c>
    </row>
    <row r="10" customFormat="false" ht="15" hidden="false" customHeight="false" outlineLevel="0" collapsed="false">
      <c r="A10" s="10" t="s">
        <v>27</v>
      </c>
      <c r="B10" s="11" t="n">
        <f aca="false">B8-B5</f>
        <v>20.5</v>
      </c>
      <c r="C10" s="11" t="n">
        <f aca="false">C8-C5</f>
        <v>19</v>
      </c>
      <c r="D10" s="11" t="n">
        <f aca="false">D8-D5</f>
        <v>16.1666666666667</v>
      </c>
    </row>
    <row r="12" customFormat="false" ht="15" hidden="false" customHeight="false" outlineLevel="0" collapsed="false">
      <c r="A12" s="6" t="s">
        <v>28</v>
      </c>
      <c r="B12" s="7" t="s">
        <v>19</v>
      </c>
      <c r="C12" s="7" t="s">
        <v>20</v>
      </c>
      <c r="D12" s="7" t="s">
        <v>21</v>
      </c>
    </row>
    <row r="13" customFormat="false" ht="15" hidden="false" customHeight="false" outlineLevel="0" collapsed="false">
      <c r="A13" s="8" t="s">
        <v>22</v>
      </c>
      <c r="B13" s="9" t="str">
        <f aca="false">김건희반_2020!B33</f>
        <v/>
      </c>
      <c r="C13" s="9" t="n">
        <f aca="false">구성관반_2023!B33</f>
        <v>14.75</v>
      </c>
      <c r="D13" s="9" t="n">
        <f aca="false">이서연반_2025!B41</f>
        <v>15</v>
      </c>
    </row>
    <row r="14" customFormat="false" ht="15" hidden="false" customHeight="false" outlineLevel="0" collapsed="false">
      <c r="A14" s="8" t="s">
        <v>23</v>
      </c>
      <c r="B14" s="9" t="n">
        <f aca="false">김건희반_2020!F33</f>
        <v>19.25</v>
      </c>
      <c r="C14" s="9" t="n">
        <f aca="false">구성관반_2023!F33</f>
        <v>20.75</v>
      </c>
      <c r="D14" s="9" t="n">
        <f aca="false">이서연반_2025!E41</f>
        <v>21</v>
      </c>
    </row>
    <row r="15" customFormat="false" ht="15" hidden="false" customHeight="false" outlineLevel="0" collapsed="false">
      <c r="A15" s="8" t="s">
        <v>24</v>
      </c>
      <c r="B15" s="9" t="n">
        <f aca="false">김건희반_2020!G33</f>
        <v>19.75</v>
      </c>
      <c r="C15" s="9" t="n">
        <f aca="false">구성관반_2023!G33</f>
        <v>25.75</v>
      </c>
      <c r="D15" s="9" t="n">
        <f aca="false">이서연반_2025!F41</f>
        <v>20.1666666666667</v>
      </c>
    </row>
    <row r="16" customFormat="false" ht="15" hidden="false" customHeight="false" outlineLevel="0" collapsed="false">
      <c r="A16" s="8" t="s">
        <v>25</v>
      </c>
      <c r="B16" s="9" t="n">
        <f aca="false">김건희반_2020!I33</f>
        <v>21.75</v>
      </c>
      <c r="C16" s="9" t="n">
        <f aca="false">구성관반_2023!I33</f>
        <v>23.25</v>
      </c>
      <c r="D16" s="9" t="n">
        <f aca="false">이서연반_2025!H41</f>
        <v>20.6666666666667</v>
      </c>
    </row>
    <row r="17" customFormat="false" ht="15" hidden="false" customHeight="false" outlineLevel="0" collapsed="false">
      <c r="A17" s="8" t="s">
        <v>26</v>
      </c>
      <c r="B17" s="9" t="n">
        <f aca="false">김건희반_2020!N33</f>
        <v>23</v>
      </c>
      <c r="C17" s="9" t="n">
        <f aca="false">구성관반_2023!M33</f>
        <v>24.75</v>
      </c>
      <c r="D17" s="9" t="n">
        <f aca="false">이서연반_2025!H41</f>
        <v>20.6666666666667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8" min="2" style="0" width="10"/>
  </cols>
  <sheetData>
    <row r="1" customFormat="false" ht="19.4" hidden="false" customHeight="false" outlineLevel="0" collapsed="false">
      <c r="A1" s="12" t="s">
        <v>29</v>
      </c>
    </row>
    <row r="2" customFormat="false" ht="15" hidden="false" customHeight="false" outlineLevel="0" collapsed="false">
      <c r="A2" s="5" t="s">
        <v>30</v>
      </c>
    </row>
    <row r="4" customFormat="false" ht="15" hidden="false" customHeight="false" outlineLevel="0" collapsed="false">
      <c r="A4" s="13" t="s">
        <v>31</v>
      </c>
    </row>
    <row r="5" customFormat="false" ht="31.5" hidden="false" customHeight="true" outlineLevel="0" collapsed="false">
      <c r="A5" s="6" t="s">
        <v>32</v>
      </c>
      <c r="B5" s="6" t="s">
        <v>33</v>
      </c>
      <c r="C5" s="6" t="s">
        <v>34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39</v>
      </c>
      <c r="I5" s="6" t="s">
        <v>40</v>
      </c>
      <c r="J5" s="6" t="s">
        <v>41</v>
      </c>
      <c r="K5" s="6" t="s">
        <v>42</v>
      </c>
      <c r="L5" s="6" t="s">
        <v>43</v>
      </c>
      <c r="M5" s="6" t="s">
        <v>44</v>
      </c>
      <c r="N5" s="6" t="s">
        <v>45</v>
      </c>
      <c r="O5" s="6" t="s">
        <v>46</v>
      </c>
      <c r="P5" s="6" t="s">
        <v>47</v>
      </c>
      <c r="Q5" s="6" t="s">
        <v>48</v>
      </c>
      <c r="R5" s="6" t="s">
        <v>49</v>
      </c>
    </row>
    <row r="6" customFormat="false" ht="15" hidden="false" customHeight="false" outlineLevel="0" collapsed="false">
      <c r="A6" s="8" t="s">
        <v>50</v>
      </c>
      <c r="B6" s="14" t="n">
        <v>69</v>
      </c>
      <c r="C6" s="14" t="n">
        <v>75</v>
      </c>
      <c r="D6" s="14" t="n">
        <v>76</v>
      </c>
      <c r="E6" s="14" t="n">
        <v>90</v>
      </c>
      <c r="F6" s="14" t="n">
        <v>73</v>
      </c>
      <c r="G6" s="14" t="n">
        <v>82</v>
      </c>
      <c r="H6" s="14" t="n">
        <v>95</v>
      </c>
      <c r="I6" s="14" t="n">
        <v>87</v>
      </c>
      <c r="J6" s="14" t="n">
        <v>86</v>
      </c>
      <c r="K6" s="14" t="n">
        <v>80</v>
      </c>
      <c r="L6" s="14" t="n">
        <v>84</v>
      </c>
      <c r="M6" s="14" t="n">
        <v>86</v>
      </c>
      <c r="N6" s="14" t="n">
        <v>88</v>
      </c>
      <c r="O6" s="15" t="n">
        <f aca="false">B6</f>
        <v>69</v>
      </c>
      <c r="P6" s="15" t="n">
        <f aca="false">LOOKUP(9.99E+307,B6:N6)</f>
        <v>88</v>
      </c>
      <c r="Q6" s="16" t="n">
        <f aca="false">P6-O6</f>
        <v>19</v>
      </c>
      <c r="R6" s="15" t="n">
        <f aca="false">MAX(B6:N6)</f>
        <v>95</v>
      </c>
    </row>
    <row r="7" customFormat="false" ht="15" hidden="false" customHeight="false" outlineLevel="0" collapsed="false">
      <c r="A7" s="8" t="s">
        <v>51</v>
      </c>
      <c r="B7" s="14" t="n">
        <v>67</v>
      </c>
      <c r="C7" s="14" t="n">
        <v>66</v>
      </c>
      <c r="D7" s="14" t="n">
        <v>72</v>
      </c>
      <c r="E7" s="14" t="n">
        <v>81</v>
      </c>
      <c r="F7" s="14" t="n">
        <v>84</v>
      </c>
      <c r="G7" s="14" t="n">
        <v>83</v>
      </c>
      <c r="H7" s="14" t="n">
        <v>93</v>
      </c>
      <c r="I7" s="14" t="n">
        <v>82</v>
      </c>
      <c r="J7" s="14" t="n">
        <v>77</v>
      </c>
      <c r="K7" s="14" t="n">
        <v>79</v>
      </c>
      <c r="L7" s="14" t="n">
        <v>80</v>
      </c>
      <c r="M7" s="14" t="n">
        <v>88</v>
      </c>
      <c r="N7" s="14" t="n">
        <v>88</v>
      </c>
      <c r="O7" s="15" t="n">
        <f aca="false">B7</f>
        <v>67</v>
      </c>
      <c r="P7" s="15" t="n">
        <f aca="false">LOOKUP(9.99E+307,B7:N7)</f>
        <v>88</v>
      </c>
      <c r="Q7" s="16" t="n">
        <f aca="false">P7-O7</f>
        <v>21</v>
      </c>
      <c r="R7" s="15" t="n">
        <f aca="false">MAX(B7:N7)</f>
        <v>93</v>
      </c>
    </row>
    <row r="8" customFormat="false" ht="15" hidden="false" customHeight="false" outlineLevel="0" collapsed="false">
      <c r="A8" s="8" t="s">
        <v>52</v>
      </c>
      <c r="B8" s="14" t="n">
        <v>58</v>
      </c>
      <c r="C8" s="14" t="n">
        <v>73</v>
      </c>
      <c r="D8" s="14" t="n">
        <v>75</v>
      </c>
      <c r="E8" s="14" t="n">
        <v>78</v>
      </c>
      <c r="F8" s="14" t="n">
        <v>77</v>
      </c>
      <c r="G8" s="14" t="n">
        <v>77</v>
      </c>
      <c r="H8" s="14" t="n">
        <v>90</v>
      </c>
      <c r="I8" s="14" t="n">
        <v>80</v>
      </c>
      <c r="J8" s="14" t="n">
        <v>81</v>
      </c>
      <c r="K8" s="14" t="n">
        <v>91</v>
      </c>
      <c r="L8" s="14" t="n">
        <v>87</v>
      </c>
      <c r="M8" s="14" t="n">
        <v>93</v>
      </c>
      <c r="N8" s="14" t="n">
        <v>87</v>
      </c>
      <c r="O8" s="15" t="n">
        <f aca="false">B8</f>
        <v>58</v>
      </c>
      <c r="P8" s="15" t="n">
        <f aca="false">LOOKUP(9.99E+307,B8:N8)</f>
        <v>87</v>
      </c>
      <c r="Q8" s="16" t="n">
        <f aca="false">P8-O8</f>
        <v>29</v>
      </c>
      <c r="R8" s="15" t="n">
        <f aca="false">MAX(B8:N8)</f>
        <v>93</v>
      </c>
    </row>
    <row r="9" customFormat="false" ht="15" hidden="false" customHeight="false" outlineLevel="0" collapsed="false">
      <c r="A9" s="8" t="s">
        <v>53</v>
      </c>
      <c r="B9" s="14" t="n">
        <v>57</v>
      </c>
      <c r="C9" s="14" t="n">
        <v>79</v>
      </c>
      <c r="D9" s="14" t="n">
        <v>76</v>
      </c>
      <c r="E9" s="14" t="n">
        <v>71</v>
      </c>
      <c r="F9" s="14" t="n">
        <v>80</v>
      </c>
      <c r="G9" s="14" t="n">
        <v>74</v>
      </c>
      <c r="H9" s="14" t="n">
        <v>87</v>
      </c>
      <c r="I9" s="14" t="n">
        <v>84</v>
      </c>
      <c r="J9" s="14" t="n">
        <v>89</v>
      </c>
      <c r="K9" s="14" t="n">
        <v>74</v>
      </c>
      <c r="L9" s="14" t="n">
        <v>86</v>
      </c>
      <c r="M9" s="14" t="n">
        <v>74</v>
      </c>
      <c r="N9" s="14"/>
      <c r="O9" s="15" t="n">
        <f aca="false">B9</f>
        <v>57</v>
      </c>
      <c r="P9" s="15" t="n">
        <f aca="false">LOOKUP(9.99E+307,B9:N9)</f>
        <v>74</v>
      </c>
      <c r="Q9" s="16" t="n">
        <f aca="false">P9-O9</f>
        <v>17</v>
      </c>
      <c r="R9" s="15" t="n">
        <f aca="false">MAX(B9:N9)</f>
        <v>89</v>
      </c>
    </row>
    <row r="10" customFormat="false" ht="15" hidden="false" customHeight="false" outlineLevel="0" collapsed="false">
      <c r="A10" s="10" t="s">
        <v>54</v>
      </c>
      <c r="B10" s="17" t="n">
        <f aca="false">IF(COUNT(B6:B9)=0,"",AVERAGE(B6:B9))</f>
        <v>62.75</v>
      </c>
      <c r="C10" s="17" t="n">
        <f aca="false">IF(COUNT(C6:C9)=0,"",AVERAGE(C6:C9))</f>
        <v>73.25</v>
      </c>
      <c r="D10" s="17" t="n">
        <f aca="false">IF(COUNT(D6:D9)=0,"",AVERAGE(D6:D9))</f>
        <v>74.75</v>
      </c>
      <c r="E10" s="17" t="n">
        <f aca="false">IF(COUNT(E6:E9)=0,"",AVERAGE(E6:E9))</f>
        <v>80</v>
      </c>
      <c r="F10" s="17" t="n">
        <f aca="false">IF(COUNT(F6:F9)=0,"",AVERAGE(F6:F9))</f>
        <v>78.5</v>
      </c>
      <c r="G10" s="17" t="n">
        <f aca="false">IF(COUNT(G6:G9)=0,"",AVERAGE(G6:G9))</f>
        <v>79</v>
      </c>
      <c r="H10" s="17" t="n">
        <f aca="false">IF(COUNT(H6:H9)=0,"",AVERAGE(H6:H9))</f>
        <v>91.25</v>
      </c>
      <c r="I10" s="17" t="n">
        <f aca="false">IF(COUNT(I6:I9)=0,"",AVERAGE(I6:I9))</f>
        <v>83.25</v>
      </c>
      <c r="J10" s="17" t="n">
        <f aca="false">IF(COUNT(J6:J9)=0,"",AVERAGE(J6:J9))</f>
        <v>83.25</v>
      </c>
      <c r="K10" s="17" t="n">
        <f aca="false">IF(COUNT(K6:K9)=0,"",AVERAGE(K6:K9))</f>
        <v>81</v>
      </c>
      <c r="L10" s="17" t="n">
        <f aca="false">IF(COUNT(L6:L9)=0,"",AVERAGE(L6:L9))</f>
        <v>84.25</v>
      </c>
      <c r="M10" s="17" t="n">
        <f aca="false">IF(COUNT(M6:M9)=0,"",AVERAGE(M6:M9))</f>
        <v>85.25</v>
      </c>
      <c r="N10" s="17" t="n">
        <f aca="false">IF(COUNT(N6:N9)=0,"",AVERAGE(N6:N9))</f>
        <v>87.6666666666667</v>
      </c>
    </row>
    <row r="12" customFormat="false" ht="15" hidden="false" customHeight="false" outlineLevel="0" collapsed="false">
      <c r="A12" s="13" t="s">
        <v>55</v>
      </c>
    </row>
    <row r="13" customFormat="false" ht="31.5" hidden="false" customHeight="true" outlineLevel="0" collapsed="false">
      <c r="A13" s="6" t="s">
        <v>32</v>
      </c>
      <c r="B13" s="6" t="s">
        <v>33</v>
      </c>
      <c r="C13" s="6" t="s">
        <v>34</v>
      </c>
      <c r="D13" s="6" t="s">
        <v>35</v>
      </c>
      <c r="E13" s="6" t="s">
        <v>36</v>
      </c>
      <c r="F13" s="6" t="s">
        <v>37</v>
      </c>
      <c r="G13" s="6" t="s">
        <v>38</v>
      </c>
      <c r="H13" s="6" t="s">
        <v>39</v>
      </c>
      <c r="I13" s="6" t="s">
        <v>40</v>
      </c>
      <c r="J13" s="6" t="s">
        <v>41</v>
      </c>
      <c r="K13" s="6" t="s">
        <v>42</v>
      </c>
      <c r="L13" s="6" t="s">
        <v>43</v>
      </c>
      <c r="M13" s="6" t="s">
        <v>44</v>
      </c>
      <c r="N13" s="6" t="s">
        <v>45</v>
      </c>
    </row>
    <row r="14" customFormat="false" ht="15" hidden="false" customHeight="false" outlineLevel="0" collapsed="false">
      <c r="A14" s="8" t="s">
        <v>50</v>
      </c>
      <c r="B14" s="14" t="n">
        <v>4</v>
      </c>
      <c r="C14" s="14" t="n">
        <v>3</v>
      </c>
      <c r="D14" s="14" t="n">
        <v>3</v>
      </c>
      <c r="E14" s="14" t="n">
        <v>1</v>
      </c>
      <c r="F14" s="14" t="n">
        <v>3</v>
      </c>
      <c r="G14" s="14" t="n">
        <v>2</v>
      </c>
      <c r="H14" s="14" t="n">
        <v>1</v>
      </c>
      <c r="I14" s="14" t="n">
        <v>2</v>
      </c>
      <c r="J14" s="14" t="n">
        <v>2</v>
      </c>
      <c r="K14" s="14" t="n">
        <v>2</v>
      </c>
      <c r="L14" s="14" t="n">
        <v>2</v>
      </c>
      <c r="M14" s="14" t="n">
        <v>2</v>
      </c>
      <c r="N14" s="14" t="n">
        <v>2</v>
      </c>
    </row>
    <row r="15" customFormat="false" ht="15" hidden="false" customHeight="false" outlineLevel="0" collapsed="false">
      <c r="A15" s="8" t="s">
        <v>51</v>
      </c>
      <c r="B15" s="14" t="n">
        <v>4</v>
      </c>
      <c r="C15" s="14" t="n">
        <v>4</v>
      </c>
      <c r="D15" s="14" t="n">
        <v>3</v>
      </c>
      <c r="E15" s="14" t="n">
        <v>2</v>
      </c>
      <c r="F15" s="14" t="n">
        <v>2</v>
      </c>
      <c r="G15" s="14" t="n">
        <v>2</v>
      </c>
      <c r="H15" s="14" t="n">
        <v>1</v>
      </c>
      <c r="I15" s="14" t="n">
        <v>2</v>
      </c>
      <c r="J15" s="14" t="n">
        <v>3</v>
      </c>
      <c r="K15" s="14" t="n">
        <v>3</v>
      </c>
      <c r="L15" s="14" t="n">
        <v>2</v>
      </c>
      <c r="M15" s="14" t="n">
        <v>2</v>
      </c>
      <c r="N15" s="14" t="n">
        <v>2</v>
      </c>
    </row>
    <row r="16" customFormat="false" ht="15" hidden="false" customHeight="false" outlineLevel="0" collapsed="false">
      <c r="A16" s="8" t="s">
        <v>52</v>
      </c>
      <c r="B16" s="14" t="n">
        <v>5</v>
      </c>
      <c r="C16" s="14" t="n">
        <v>3</v>
      </c>
      <c r="D16" s="14" t="n">
        <v>3</v>
      </c>
      <c r="E16" s="14" t="n">
        <v>3</v>
      </c>
      <c r="F16" s="14" t="n">
        <v>3</v>
      </c>
      <c r="G16" s="14" t="n">
        <v>3</v>
      </c>
      <c r="H16" s="14" t="n">
        <v>1</v>
      </c>
      <c r="I16" s="14" t="n">
        <v>2</v>
      </c>
      <c r="J16" s="14" t="n">
        <v>2</v>
      </c>
      <c r="K16" s="14" t="n">
        <v>1</v>
      </c>
      <c r="L16" s="14" t="n">
        <v>2</v>
      </c>
      <c r="M16" s="14" t="n">
        <v>1</v>
      </c>
      <c r="N16" s="14" t="n">
        <v>2</v>
      </c>
    </row>
    <row r="17" customFormat="false" ht="15" hidden="false" customHeight="false" outlineLevel="0" collapsed="false">
      <c r="A17" s="8" t="s">
        <v>53</v>
      </c>
      <c r="B17" s="14" t="n">
        <v>5</v>
      </c>
      <c r="C17" s="14" t="n">
        <v>3</v>
      </c>
      <c r="D17" s="14" t="n">
        <v>3</v>
      </c>
      <c r="E17" s="14" t="n">
        <v>3</v>
      </c>
      <c r="F17" s="14" t="n">
        <v>2</v>
      </c>
      <c r="G17" s="14" t="n">
        <v>3</v>
      </c>
      <c r="H17" s="14" t="n">
        <v>2</v>
      </c>
      <c r="I17" s="14" t="n">
        <v>2</v>
      </c>
      <c r="J17" s="14" t="n">
        <v>2</v>
      </c>
      <c r="K17" s="14" t="n">
        <v>3</v>
      </c>
      <c r="L17" s="14" t="n">
        <v>2</v>
      </c>
      <c r="M17" s="14" t="n">
        <v>3</v>
      </c>
      <c r="N17" s="14"/>
    </row>
    <row r="19" customFormat="false" ht="15" hidden="false" customHeight="false" outlineLevel="0" collapsed="false">
      <c r="A19" s="13" t="s">
        <v>56</v>
      </c>
    </row>
    <row r="20" customFormat="false" ht="31.5" hidden="false" customHeight="true" outlineLevel="0" collapsed="false">
      <c r="A20" s="6" t="s">
        <v>32</v>
      </c>
      <c r="B20" s="6" t="s">
        <v>33</v>
      </c>
      <c r="C20" s="6" t="s">
        <v>34</v>
      </c>
      <c r="D20" s="6" t="s">
        <v>35</v>
      </c>
      <c r="E20" s="6" t="s">
        <v>36</v>
      </c>
      <c r="F20" s="6" t="s">
        <v>37</v>
      </c>
      <c r="G20" s="6" t="s">
        <v>38</v>
      </c>
      <c r="H20" s="6" t="s">
        <v>39</v>
      </c>
      <c r="I20" s="6" t="s">
        <v>40</v>
      </c>
      <c r="J20" s="6" t="s">
        <v>41</v>
      </c>
      <c r="K20" s="6" t="s">
        <v>42</v>
      </c>
      <c r="L20" s="6" t="s">
        <v>43</v>
      </c>
      <c r="M20" s="6" t="s">
        <v>44</v>
      </c>
      <c r="N20" s="6" t="s">
        <v>45</v>
      </c>
    </row>
    <row r="21" customFormat="false" ht="15" hidden="false" customHeight="false" outlineLevel="0" collapsed="false">
      <c r="A21" s="8" t="s">
        <v>50</v>
      </c>
      <c r="B21" s="14"/>
      <c r="C21" s="14" t="n">
        <v>16</v>
      </c>
      <c r="D21" s="14" t="n">
        <v>17</v>
      </c>
      <c r="E21" s="14" t="n">
        <v>17</v>
      </c>
      <c r="F21" s="14" t="n">
        <v>16</v>
      </c>
      <c r="G21" s="14" t="n">
        <v>17</v>
      </c>
      <c r="H21" s="14" t="n">
        <v>17</v>
      </c>
      <c r="I21" s="14" t="n">
        <v>17</v>
      </c>
      <c r="J21" s="14" t="n">
        <v>16</v>
      </c>
      <c r="K21" s="14" t="n">
        <v>16</v>
      </c>
      <c r="L21" s="14" t="n">
        <v>17</v>
      </c>
      <c r="M21" s="14" t="n">
        <v>17</v>
      </c>
      <c r="N21" s="14" t="n">
        <v>17</v>
      </c>
    </row>
    <row r="22" customFormat="false" ht="15" hidden="false" customHeight="false" outlineLevel="0" collapsed="false">
      <c r="A22" s="8" t="s">
        <v>51</v>
      </c>
      <c r="B22" s="14"/>
      <c r="C22" s="14" t="n">
        <v>15</v>
      </c>
      <c r="D22" s="14" t="n">
        <v>16</v>
      </c>
      <c r="E22" s="14" t="n">
        <v>17</v>
      </c>
      <c r="F22" s="14" t="n">
        <v>17</v>
      </c>
      <c r="G22" s="14" t="n">
        <v>17</v>
      </c>
      <c r="H22" s="14" t="n">
        <v>17</v>
      </c>
      <c r="I22" s="14" t="n">
        <v>17</v>
      </c>
      <c r="J22" s="14" t="n">
        <v>17</v>
      </c>
      <c r="K22" s="14" t="n">
        <v>17</v>
      </c>
      <c r="L22" s="14" t="n">
        <v>17</v>
      </c>
      <c r="M22" s="14" t="n">
        <v>17</v>
      </c>
      <c r="N22" s="14" t="n">
        <v>17</v>
      </c>
    </row>
    <row r="23" customFormat="false" ht="15" hidden="false" customHeight="false" outlineLevel="0" collapsed="false">
      <c r="A23" s="8" t="s">
        <v>52</v>
      </c>
      <c r="B23" s="14"/>
      <c r="C23" s="14" t="n">
        <v>17</v>
      </c>
      <c r="D23" s="14" t="n">
        <v>17</v>
      </c>
      <c r="E23" s="14" t="n">
        <v>17</v>
      </c>
      <c r="F23" s="14" t="n">
        <v>16</v>
      </c>
      <c r="G23" s="14" t="n">
        <v>17</v>
      </c>
      <c r="H23" s="14" t="n">
        <v>17</v>
      </c>
      <c r="I23" s="14" t="n">
        <v>17</v>
      </c>
      <c r="J23" s="14" t="n">
        <v>17</v>
      </c>
      <c r="K23" s="14" t="n">
        <v>17</v>
      </c>
      <c r="L23" s="14" t="n">
        <v>17</v>
      </c>
      <c r="M23" s="14" t="n">
        <v>17</v>
      </c>
      <c r="N23" s="14" t="n">
        <v>17</v>
      </c>
    </row>
    <row r="24" customFormat="false" ht="15" hidden="false" customHeight="false" outlineLevel="0" collapsed="false">
      <c r="A24" s="8" t="s">
        <v>53</v>
      </c>
      <c r="B24" s="14"/>
      <c r="C24" s="14" t="n">
        <v>16</v>
      </c>
      <c r="D24" s="14" t="n">
        <v>17</v>
      </c>
      <c r="E24" s="14" t="n">
        <v>15</v>
      </c>
      <c r="F24" s="14" t="n">
        <v>17</v>
      </c>
      <c r="G24" s="14" t="n">
        <v>16</v>
      </c>
      <c r="H24" s="14" t="n">
        <v>16</v>
      </c>
      <c r="I24" s="14" t="n">
        <v>16</v>
      </c>
      <c r="J24" s="14" t="n">
        <v>17</v>
      </c>
      <c r="K24" s="14" t="n">
        <v>14</v>
      </c>
      <c r="L24" s="14" t="n">
        <v>16</v>
      </c>
      <c r="M24" s="14" t="n">
        <v>16</v>
      </c>
      <c r="N24" s="14"/>
    </row>
    <row r="25" customFormat="false" ht="15" hidden="false" customHeight="false" outlineLevel="0" collapsed="false">
      <c r="A25" s="10" t="s">
        <v>54</v>
      </c>
      <c r="B25" s="17" t="str">
        <f aca="false">IF(COUNT(B21:B24)=0,"",AVERAGE(B21:B24))</f>
        <v/>
      </c>
      <c r="C25" s="17" t="n">
        <f aca="false">IF(COUNT(C21:C24)=0,"",AVERAGE(C21:C24))</f>
        <v>16</v>
      </c>
      <c r="D25" s="17" t="n">
        <f aca="false">IF(COUNT(D21:D24)=0,"",AVERAGE(D21:D24))</f>
        <v>16.75</v>
      </c>
      <c r="E25" s="17" t="n">
        <f aca="false">IF(COUNT(E21:E24)=0,"",AVERAGE(E21:E24))</f>
        <v>16.5</v>
      </c>
      <c r="F25" s="17" t="n">
        <f aca="false">IF(COUNT(F21:F24)=0,"",AVERAGE(F21:F24))</f>
        <v>16.5</v>
      </c>
      <c r="G25" s="17" t="n">
        <f aca="false">IF(COUNT(G21:G24)=0,"",AVERAGE(G21:G24))</f>
        <v>16.75</v>
      </c>
      <c r="H25" s="17" t="n">
        <f aca="false">IF(COUNT(H21:H24)=0,"",AVERAGE(H21:H24))</f>
        <v>16.75</v>
      </c>
      <c r="I25" s="17" t="n">
        <f aca="false">IF(COUNT(I21:I24)=0,"",AVERAGE(I21:I24))</f>
        <v>16.75</v>
      </c>
      <c r="J25" s="17" t="n">
        <f aca="false">IF(COUNT(J21:J24)=0,"",AVERAGE(J21:J24))</f>
        <v>16.75</v>
      </c>
      <c r="K25" s="17" t="n">
        <f aca="false">IF(COUNT(K21:K24)=0,"",AVERAGE(K21:K24))</f>
        <v>16</v>
      </c>
      <c r="L25" s="17" t="n">
        <f aca="false">IF(COUNT(L21:L24)=0,"",AVERAGE(L21:L24))</f>
        <v>16.75</v>
      </c>
      <c r="M25" s="17" t="n">
        <f aca="false">IF(COUNT(M21:M24)=0,"",AVERAGE(M21:M24))</f>
        <v>16.75</v>
      </c>
      <c r="N25" s="17" t="n">
        <f aca="false">IF(COUNT(N21:N24)=0,"",AVERAGE(N21:N24))</f>
        <v>17</v>
      </c>
    </row>
    <row r="27" customFormat="false" ht="15" hidden="false" customHeight="false" outlineLevel="0" collapsed="false">
      <c r="A27" s="13" t="s">
        <v>57</v>
      </c>
    </row>
    <row r="28" customFormat="false" ht="31.5" hidden="false" customHeight="true" outlineLevel="0" collapsed="false">
      <c r="A28" s="6" t="s">
        <v>32</v>
      </c>
      <c r="B28" s="6" t="s">
        <v>33</v>
      </c>
      <c r="C28" s="6" t="s">
        <v>34</v>
      </c>
      <c r="D28" s="6" t="s">
        <v>35</v>
      </c>
      <c r="E28" s="6" t="s">
        <v>36</v>
      </c>
      <c r="F28" s="6" t="s">
        <v>37</v>
      </c>
      <c r="G28" s="6" t="s">
        <v>38</v>
      </c>
      <c r="H28" s="6" t="s">
        <v>39</v>
      </c>
      <c r="I28" s="6" t="s">
        <v>40</v>
      </c>
      <c r="J28" s="6" t="s">
        <v>41</v>
      </c>
      <c r="K28" s="6" t="s">
        <v>42</v>
      </c>
      <c r="L28" s="6" t="s">
        <v>43</v>
      </c>
      <c r="M28" s="6" t="s">
        <v>44</v>
      </c>
      <c r="N28" s="6" t="s">
        <v>45</v>
      </c>
    </row>
    <row r="29" customFormat="false" ht="15" hidden="false" customHeight="false" outlineLevel="0" collapsed="false">
      <c r="A29" s="8" t="s">
        <v>50</v>
      </c>
      <c r="B29" s="14"/>
      <c r="C29" s="14" t="n">
        <v>18</v>
      </c>
      <c r="D29" s="14" t="n">
        <v>19</v>
      </c>
      <c r="E29" s="14" t="n">
        <v>24</v>
      </c>
      <c r="F29" s="14" t="n">
        <v>18</v>
      </c>
      <c r="G29" s="14" t="n">
        <v>21</v>
      </c>
      <c r="H29" s="14" t="n">
        <v>26</v>
      </c>
      <c r="I29" s="14" t="n">
        <v>23</v>
      </c>
      <c r="J29" s="14" t="n">
        <v>23</v>
      </c>
      <c r="K29" s="14" t="n">
        <v>20</v>
      </c>
      <c r="L29" s="14" t="n">
        <v>21</v>
      </c>
      <c r="M29" s="14" t="n">
        <v>23</v>
      </c>
      <c r="N29" s="14" t="n">
        <v>23</v>
      </c>
    </row>
    <row r="30" customFormat="false" ht="15" hidden="false" customHeight="false" outlineLevel="0" collapsed="false">
      <c r="A30" s="8" t="s">
        <v>51</v>
      </c>
      <c r="B30" s="14"/>
      <c r="C30" s="14" t="n">
        <v>16</v>
      </c>
      <c r="D30" s="14" t="n">
        <v>18</v>
      </c>
      <c r="E30" s="14" t="n">
        <v>20</v>
      </c>
      <c r="F30" s="14" t="n">
        <v>21</v>
      </c>
      <c r="G30" s="14" t="n">
        <v>21</v>
      </c>
      <c r="H30" s="14" t="n">
        <v>25</v>
      </c>
      <c r="I30" s="14" t="n">
        <v>21</v>
      </c>
      <c r="J30" s="14" t="n">
        <v>19</v>
      </c>
      <c r="K30" s="14" t="n">
        <v>19</v>
      </c>
      <c r="L30" s="14" t="n">
        <v>20</v>
      </c>
      <c r="M30" s="14" t="n">
        <v>23</v>
      </c>
      <c r="N30" s="14" t="n">
        <v>23</v>
      </c>
    </row>
    <row r="31" customFormat="false" ht="15" hidden="false" customHeight="false" outlineLevel="0" collapsed="false">
      <c r="A31" s="8" t="s">
        <v>52</v>
      </c>
      <c r="B31" s="14"/>
      <c r="C31" s="14" t="n">
        <v>16</v>
      </c>
      <c r="D31" s="14" t="n">
        <v>18</v>
      </c>
      <c r="E31" s="14" t="n">
        <v>18</v>
      </c>
      <c r="F31" s="14" t="n">
        <v>19</v>
      </c>
      <c r="G31" s="14" t="n">
        <v>19</v>
      </c>
      <c r="H31" s="14" t="n">
        <v>24</v>
      </c>
      <c r="I31" s="14" t="n">
        <v>20</v>
      </c>
      <c r="J31" s="14" t="n">
        <v>20</v>
      </c>
      <c r="K31" s="14" t="n">
        <v>24</v>
      </c>
      <c r="L31" s="14" t="n">
        <v>23</v>
      </c>
      <c r="M31" s="14" t="n">
        <v>25</v>
      </c>
      <c r="N31" s="14" t="n">
        <v>23</v>
      </c>
    </row>
    <row r="32" customFormat="false" ht="15" hidden="false" customHeight="false" outlineLevel="0" collapsed="false">
      <c r="A32" s="8" t="s">
        <v>53</v>
      </c>
      <c r="B32" s="14"/>
      <c r="C32" s="14" t="n">
        <v>20</v>
      </c>
      <c r="D32" s="14" t="n">
        <v>18</v>
      </c>
      <c r="E32" s="14" t="n">
        <v>17</v>
      </c>
      <c r="F32" s="14" t="n">
        <v>19</v>
      </c>
      <c r="G32" s="14" t="n">
        <v>18</v>
      </c>
      <c r="H32" s="14" t="n">
        <v>23</v>
      </c>
      <c r="I32" s="14" t="n">
        <v>23</v>
      </c>
      <c r="J32" s="14" t="n">
        <v>24</v>
      </c>
      <c r="K32" s="14" t="n">
        <v>20</v>
      </c>
      <c r="L32" s="14" t="n">
        <v>23</v>
      </c>
      <c r="M32" s="14" t="n">
        <v>18</v>
      </c>
      <c r="N32" s="14"/>
    </row>
    <row r="33" customFormat="false" ht="15" hidden="false" customHeight="false" outlineLevel="0" collapsed="false">
      <c r="A33" s="10" t="s">
        <v>54</v>
      </c>
      <c r="B33" s="17" t="str">
        <f aca="false">IF(COUNT(B29:B32)=0,"",AVERAGE(B29:B32))</f>
        <v/>
      </c>
      <c r="C33" s="17" t="n">
        <f aca="false">IF(COUNT(C29:C32)=0,"",AVERAGE(C29:C32))</f>
        <v>17.5</v>
      </c>
      <c r="D33" s="17" t="n">
        <f aca="false">IF(COUNT(D29:D32)=0,"",AVERAGE(D29:D32))</f>
        <v>18.25</v>
      </c>
      <c r="E33" s="17" t="n">
        <f aca="false">IF(COUNT(E29:E32)=0,"",AVERAGE(E29:E32))</f>
        <v>19.75</v>
      </c>
      <c r="F33" s="17" t="n">
        <f aca="false">IF(COUNT(F29:F32)=0,"",AVERAGE(F29:F32))</f>
        <v>19.25</v>
      </c>
      <c r="G33" s="17" t="n">
        <f aca="false">IF(COUNT(G29:G32)=0,"",AVERAGE(G29:G32))</f>
        <v>19.75</v>
      </c>
      <c r="H33" s="17" t="n">
        <f aca="false">IF(COUNT(H29:H32)=0,"",AVERAGE(H29:H32))</f>
        <v>24.5</v>
      </c>
      <c r="I33" s="17" t="n">
        <f aca="false">IF(COUNT(I29:I32)=0,"",AVERAGE(I29:I32))</f>
        <v>21.75</v>
      </c>
      <c r="J33" s="17" t="n">
        <f aca="false">IF(COUNT(J29:J32)=0,"",AVERAGE(J29:J32))</f>
        <v>21.5</v>
      </c>
      <c r="K33" s="17" t="n">
        <f aca="false">IF(COUNT(K29:K32)=0,"",AVERAGE(K29:K32))</f>
        <v>20.75</v>
      </c>
      <c r="L33" s="17" t="n">
        <f aca="false">IF(COUNT(L29:L32)=0,"",AVERAGE(L29:L32))</f>
        <v>21.75</v>
      </c>
      <c r="M33" s="17" t="n">
        <f aca="false">IF(COUNT(M29:M32)=0,"",AVERAGE(M29:M32))</f>
        <v>22.25</v>
      </c>
      <c r="N33" s="17" t="n">
        <f aca="false">IF(COUNT(N29:N32)=0,"",AVERAGE(N29:N32))</f>
        <v>23</v>
      </c>
    </row>
    <row r="35" customFormat="false" ht="15" hidden="false" customHeight="false" outlineLevel="0" collapsed="false">
      <c r="A35" s="13" t="s">
        <v>58</v>
      </c>
    </row>
    <row r="36" customFormat="false" ht="31.5" hidden="false" customHeight="true" outlineLevel="0" collapsed="false">
      <c r="A36" s="6" t="s">
        <v>32</v>
      </c>
      <c r="B36" s="6" t="s">
        <v>59</v>
      </c>
      <c r="C36" s="6" t="s">
        <v>60</v>
      </c>
      <c r="D36" s="6" t="s">
        <v>61</v>
      </c>
      <c r="E36" s="6" t="s">
        <v>62</v>
      </c>
      <c r="F36" s="6" t="s">
        <v>54</v>
      </c>
    </row>
    <row r="37" customFormat="false" ht="15" hidden="false" customHeight="false" outlineLevel="0" collapsed="false">
      <c r="A37" s="8" t="s">
        <v>50</v>
      </c>
      <c r="B37" s="14" t="n">
        <v>100</v>
      </c>
      <c r="C37" s="14" t="n">
        <v>99</v>
      </c>
      <c r="D37" s="14" t="n">
        <v>96</v>
      </c>
      <c r="E37" s="14" t="n">
        <v>95</v>
      </c>
      <c r="F37" s="18" t="n">
        <f aca="false">IF(COUNT(B37:E37)=0,"",AVERAGE(B37:E37))</f>
        <v>97.5</v>
      </c>
    </row>
    <row r="38" customFormat="false" ht="15" hidden="false" customHeight="false" outlineLevel="0" collapsed="false">
      <c r="A38" s="8" t="s">
        <v>51</v>
      </c>
      <c r="B38" s="14" t="n">
        <v>97</v>
      </c>
      <c r="C38" s="14" t="n">
        <v>98</v>
      </c>
      <c r="D38" s="14" t="n">
        <v>100</v>
      </c>
      <c r="E38" s="14" t="n">
        <v>100</v>
      </c>
      <c r="F38" s="18" t="n">
        <f aca="false">IF(COUNT(B38:E38)=0,"",AVERAGE(B38:E38))</f>
        <v>98.75</v>
      </c>
    </row>
    <row r="39" customFormat="false" ht="15" hidden="false" customHeight="false" outlineLevel="0" collapsed="false">
      <c r="A39" s="8" t="s">
        <v>52</v>
      </c>
      <c r="B39" s="14" t="n">
        <v>87</v>
      </c>
      <c r="C39" s="14" t="n">
        <v>99</v>
      </c>
      <c r="D39" s="14" t="n">
        <v>100</v>
      </c>
      <c r="E39" s="14" t="n">
        <v>98</v>
      </c>
      <c r="F39" s="18" t="n">
        <f aca="false">IF(COUNT(B39:E39)=0,"",AVERAGE(B39:E39))</f>
        <v>96</v>
      </c>
    </row>
    <row r="40" customFormat="false" ht="15" hidden="false" customHeight="false" outlineLevel="0" collapsed="false">
      <c r="A40" s="8" t="s">
        <v>53</v>
      </c>
      <c r="B40" s="14" t="n">
        <v>96</v>
      </c>
      <c r="C40" s="14" t="n">
        <v>96</v>
      </c>
      <c r="D40" s="14" t="n">
        <v>94</v>
      </c>
      <c r="E40" s="14"/>
      <c r="F40" s="18" t="n">
        <f aca="false">IF(COUNT(B40:E40)=0,"",AVERAGE(B40:E40))</f>
        <v>95.3333333333333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7" min="2" style="0" width="10"/>
  </cols>
  <sheetData>
    <row r="1" customFormat="false" ht="19.4" hidden="false" customHeight="false" outlineLevel="0" collapsed="false">
      <c r="A1" s="12" t="s">
        <v>63</v>
      </c>
    </row>
    <row r="2" customFormat="false" ht="15" hidden="false" customHeight="false" outlineLevel="0" collapsed="false">
      <c r="A2" s="5" t="s">
        <v>64</v>
      </c>
    </row>
    <row r="4" customFormat="false" ht="15" hidden="false" customHeight="false" outlineLevel="0" collapsed="false">
      <c r="A4" s="13" t="s">
        <v>31</v>
      </c>
    </row>
    <row r="5" customFormat="false" ht="31.5" hidden="false" customHeight="true" outlineLevel="0" collapsed="false">
      <c r="A5" s="6" t="s">
        <v>32</v>
      </c>
      <c r="B5" s="6" t="s">
        <v>33</v>
      </c>
      <c r="C5" s="6" t="s">
        <v>34</v>
      </c>
      <c r="D5" s="6" t="s">
        <v>35</v>
      </c>
      <c r="E5" s="6" t="s">
        <v>36</v>
      </c>
      <c r="F5" s="6" t="s">
        <v>37</v>
      </c>
      <c r="G5" s="6" t="s">
        <v>65</v>
      </c>
      <c r="H5" s="6" t="s">
        <v>66</v>
      </c>
      <c r="I5" s="6" t="s">
        <v>40</v>
      </c>
      <c r="J5" s="6" t="s">
        <v>41</v>
      </c>
      <c r="K5" s="6" t="s">
        <v>42</v>
      </c>
      <c r="L5" s="6" t="s">
        <v>43</v>
      </c>
      <c r="M5" s="6" t="s">
        <v>44</v>
      </c>
      <c r="N5" s="6" t="s">
        <v>46</v>
      </c>
      <c r="O5" s="6" t="s">
        <v>47</v>
      </c>
      <c r="P5" s="6" t="s">
        <v>48</v>
      </c>
      <c r="Q5" s="6" t="s">
        <v>49</v>
      </c>
    </row>
    <row r="6" customFormat="false" ht="15" hidden="false" customHeight="false" outlineLevel="0" collapsed="false">
      <c r="A6" s="8" t="s">
        <v>67</v>
      </c>
      <c r="B6" s="14" t="n">
        <v>71</v>
      </c>
      <c r="C6" s="14" t="n">
        <v>72</v>
      </c>
      <c r="D6" s="14" t="n">
        <v>73</v>
      </c>
      <c r="E6" s="14" t="n">
        <v>83</v>
      </c>
      <c r="F6" s="14" t="n">
        <v>83</v>
      </c>
      <c r="G6" s="14" t="n">
        <v>96</v>
      </c>
      <c r="H6" s="14" t="n">
        <v>97</v>
      </c>
      <c r="I6" s="14" t="n">
        <v>89</v>
      </c>
      <c r="J6" s="14" t="n">
        <v>100</v>
      </c>
      <c r="K6" s="14" t="n">
        <v>95</v>
      </c>
      <c r="L6" s="14" t="n">
        <v>92</v>
      </c>
      <c r="M6" s="14" t="n">
        <v>100</v>
      </c>
      <c r="N6" s="15" t="n">
        <f aca="false">B6</f>
        <v>71</v>
      </c>
      <c r="O6" s="15" t="n">
        <f aca="false">LOOKUP(9.99E+307,B6:M6)</f>
        <v>100</v>
      </c>
      <c r="P6" s="16" t="n">
        <f aca="false">O6-N6</f>
        <v>29</v>
      </c>
      <c r="Q6" s="15" t="n">
        <f aca="false">MAX(B6:M6)</f>
        <v>100</v>
      </c>
    </row>
    <row r="7" customFormat="false" ht="15" hidden="false" customHeight="false" outlineLevel="0" collapsed="false">
      <c r="A7" s="8" t="s">
        <v>68</v>
      </c>
      <c r="B7" s="14" t="n">
        <v>58</v>
      </c>
      <c r="C7" s="14" t="n">
        <v>81</v>
      </c>
      <c r="D7" s="14" t="n">
        <v>81</v>
      </c>
      <c r="E7" s="14" t="n">
        <v>92</v>
      </c>
      <c r="F7" s="14" t="n">
        <v>94</v>
      </c>
      <c r="G7" s="14" t="n">
        <v>100</v>
      </c>
      <c r="H7" s="14" t="n">
        <v>94</v>
      </c>
      <c r="I7" s="14" t="n">
        <v>92</v>
      </c>
      <c r="J7" s="14" t="n">
        <v>84</v>
      </c>
      <c r="K7" s="14" t="n">
        <v>95</v>
      </c>
      <c r="L7" s="14" t="n">
        <v>95</v>
      </c>
      <c r="M7" s="14" t="n">
        <v>100</v>
      </c>
      <c r="N7" s="15" t="n">
        <f aca="false">B7</f>
        <v>58</v>
      </c>
      <c r="O7" s="15" t="n">
        <f aca="false">LOOKUP(9.99E+307,B7:M7)</f>
        <v>100</v>
      </c>
      <c r="P7" s="16" t="n">
        <f aca="false">O7-N7</f>
        <v>42</v>
      </c>
      <c r="Q7" s="15" t="n">
        <f aca="false">MAX(B7:M7)</f>
        <v>100</v>
      </c>
    </row>
    <row r="8" customFormat="false" ht="15" hidden="false" customHeight="false" outlineLevel="0" collapsed="false">
      <c r="A8" s="8" t="s">
        <v>69</v>
      </c>
      <c r="B8" s="14" t="n">
        <v>70</v>
      </c>
      <c r="C8" s="14" t="n">
        <v>74</v>
      </c>
      <c r="D8" s="14" t="n">
        <v>70</v>
      </c>
      <c r="E8" s="14" t="n">
        <v>75</v>
      </c>
      <c r="F8" s="14" t="n">
        <v>75</v>
      </c>
      <c r="G8" s="14" t="n">
        <v>90</v>
      </c>
      <c r="H8" s="14" t="n">
        <v>79</v>
      </c>
      <c r="I8" s="14" t="n">
        <v>94</v>
      </c>
      <c r="J8" s="14" t="n">
        <v>77</v>
      </c>
      <c r="K8" s="14" t="n">
        <v>89</v>
      </c>
      <c r="L8" s="14" t="n">
        <v>74</v>
      </c>
      <c r="M8" s="14" t="n">
        <v>87</v>
      </c>
      <c r="N8" s="15" t="n">
        <f aca="false">B8</f>
        <v>70</v>
      </c>
      <c r="O8" s="15" t="n">
        <f aca="false">LOOKUP(9.99E+307,B8:M8)</f>
        <v>87</v>
      </c>
      <c r="P8" s="16" t="n">
        <f aca="false">O8-N8</f>
        <v>17</v>
      </c>
      <c r="Q8" s="15" t="n">
        <f aca="false">MAX(B8:M8)</f>
        <v>94</v>
      </c>
    </row>
    <row r="9" customFormat="false" ht="15" hidden="false" customHeight="false" outlineLevel="0" collapsed="false">
      <c r="A9" s="8" t="s">
        <v>70</v>
      </c>
      <c r="B9" s="14" t="n">
        <v>69</v>
      </c>
      <c r="C9" s="14" t="n">
        <v>65</v>
      </c>
      <c r="D9" s="14" t="n">
        <v>71</v>
      </c>
      <c r="E9" s="14" t="n">
        <v>84</v>
      </c>
      <c r="F9" s="14" t="n">
        <v>75</v>
      </c>
      <c r="G9" s="14" t="n">
        <v>92</v>
      </c>
      <c r="H9" s="14" t="n">
        <v>86</v>
      </c>
      <c r="I9" s="14" t="n">
        <v>69</v>
      </c>
      <c r="J9" s="14" t="n">
        <v>70</v>
      </c>
      <c r="K9" s="14" t="n">
        <v>89</v>
      </c>
      <c r="L9" s="14" t="n">
        <v>85</v>
      </c>
      <c r="M9" s="14" t="n">
        <v>82</v>
      </c>
      <c r="N9" s="15" t="n">
        <f aca="false">B9</f>
        <v>69</v>
      </c>
      <c r="O9" s="15" t="n">
        <f aca="false">LOOKUP(9.99E+307,B9:M9)</f>
        <v>82</v>
      </c>
      <c r="P9" s="16" t="n">
        <f aca="false">O9-N9</f>
        <v>13</v>
      </c>
      <c r="Q9" s="15" t="n">
        <f aca="false">MAX(B9:M9)</f>
        <v>92</v>
      </c>
    </row>
    <row r="10" customFormat="false" ht="15" hidden="false" customHeight="false" outlineLevel="0" collapsed="false">
      <c r="A10" s="10" t="s">
        <v>54</v>
      </c>
      <c r="B10" s="17" t="n">
        <f aca="false">IF(COUNT(B6:B9)=0,"",AVERAGE(B6:B9))</f>
        <v>67</v>
      </c>
      <c r="C10" s="17" t="n">
        <f aca="false">IF(COUNT(C6:C9)=0,"",AVERAGE(C6:C9))</f>
        <v>73</v>
      </c>
      <c r="D10" s="17" t="n">
        <f aca="false">IF(COUNT(D6:D9)=0,"",AVERAGE(D6:D9))</f>
        <v>73.75</v>
      </c>
      <c r="E10" s="17" t="n">
        <f aca="false">IF(COUNT(E6:E9)=0,"",AVERAGE(E6:E9))</f>
        <v>83.5</v>
      </c>
      <c r="F10" s="17" t="n">
        <f aca="false">IF(COUNT(F6:F9)=0,"",AVERAGE(F6:F9))</f>
        <v>81.75</v>
      </c>
      <c r="G10" s="17" t="n">
        <f aca="false">IF(COUNT(G6:G9)=0,"",AVERAGE(G6:G9))</f>
        <v>94.5</v>
      </c>
      <c r="H10" s="17" t="n">
        <f aca="false">IF(COUNT(H6:H9)=0,"",AVERAGE(H6:H9))</f>
        <v>89</v>
      </c>
      <c r="I10" s="17" t="n">
        <f aca="false">IF(COUNT(I6:I9)=0,"",AVERAGE(I6:I9))</f>
        <v>86</v>
      </c>
      <c r="J10" s="17" t="n">
        <f aca="false">IF(COUNT(J6:J9)=0,"",AVERAGE(J6:J9))</f>
        <v>82.75</v>
      </c>
      <c r="K10" s="17" t="n">
        <f aca="false">IF(COUNT(K6:K9)=0,"",AVERAGE(K6:K9))</f>
        <v>92</v>
      </c>
      <c r="L10" s="17" t="n">
        <f aca="false">IF(COUNT(L6:L9)=0,"",AVERAGE(L6:L9))</f>
        <v>86.5</v>
      </c>
      <c r="M10" s="17" t="n">
        <f aca="false">IF(COUNT(M6:M9)=0,"",AVERAGE(M6:M9))</f>
        <v>92.25</v>
      </c>
    </row>
    <row r="12" customFormat="false" ht="15" hidden="false" customHeight="false" outlineLevel="0" collapsed="false">
      <c r="A12" s="13" t="s">
        <v>55</v>
      </c>
    </row>
    <row r="13" customFormat="false" ht="31.5" hidden="false" customHeight="true" outlineLevel="0" collapsed="false">
      <c r="A13" s="6" t="s">
        <v>32</v>
      </c>
      <c r="B13" s="6" t="s">
        <v>33</v>
      </c>
      <c r="C13" s="6" t="s">
        <v>34</v>
      </c>
      <c r="D13" s="6" t="s">
        <v>35</v>
      </c>
      <c r="E13" s="6" t="s">
        <v>36</v>
      </c>
      <c r="F13" s="6" t="s">
        <v>37</v>
      </c>
      <c r="G13" s="6" t="s">
        <v>65</v>
      </c>
      <c r="H13" s="6" t="s">
        <v>66</v>
      </c>
      <c r="I13" s="6" t="s">
        <v>40</v>
      </c>
      <c r="J13" s="6" t="s">
        <v>41</v>
      </c>
      <c r="K13" s="6" t="s">
        <v>42</v>
      </c>
      <c r="L13" s="6" t="s">
        <v>43</v>
      </c>
      <c r="M13" s="6" t="s">
        <v>44</v>
      </c>
    </row>
    <row r="14" customFormat="false" ht="15" hidden="false" customHeight="false" outlineLevel="0" collapsed="false">
      <c r="A14" s="8" t="s">
        <v>67</v>
      </c>
      <c r="B14" s="14" t="n">
        <v>3</v>
      </c>
      <c r="C14" s="14" t="n">
        <v>3</v>
      </c>
      <c r="D14" s="14" t="n">
        <v>3</v>
      </c>
      <c r="E14" s="14" t="n">
        <v>2</v>
      </c>
      <c r="F14" s="14" t="n">
        <v>2</v>
      </c>
      <c r="G14" s="14" t="n">
        <v>1</v>
      </c>
      <c r="H14" s="14" t="n">
        <v>1</v>
      </c>
      <c r="I14" s="14" t="n">
        <v>2</v>
      </c>
      <c r="J14" s="14" t="n">
        <v>1</v>
      </c>
      <c r="K14" s="14" t="n">
        <v>1</v>
      </c>
      <c r="L14" s="14" t="n">
        <v>1</v>
      </c>
      <c r="M14" s="14" t="n">
        <v>1</v>
      </c>
    </row>
    <row r="15" customFormat="false" ht="15" hidden="false" customHeight="false" outlineLevel="0" collapsed="false">
      <c r="A15" s="8" t="s">
        <v>68</v>
      </c>
      <c r="B15" s="14" t="n">
        <v>5</v>
      </c>
      <c r="C15" s="14" t="n">
        <v>2</v>
      </c>
      <c r="D15" s="14" t="n">
        <v>2</v>
      </c>
      <c r="E15" s="14" t="n">
        <v>1</v>
      </c>
      <c r="F15" s="14" t="n">
        <v>1</v>
      </c>
      <c r="G15" s="14" t="n">
        <v>1</v>
      </c>
      <c r="H15" s="14" t="n">
        <v>1</v>
      </c>
      <c r="I15" s="14" t="n">
        <v>1</v>
      </c>
      <c r="J15" s="14" t="n">
        <v>2</v>
      </c>
      <c r="K15" s="14" t="n">
        <v>1</v>
      </c>
      <c r="L15" s="14" t="n">
        <v>1</v>
      </c>
      <c r="M15" s="14" t="n">
        <v>1</v>
      </c>
    </row>
    <row r="16" customFormat="false" ht="15" hidden="false" customHeight="false" outlineLevel="0" collapsed="false">
      <c r="A16" s="8" t="s">
        <v>69</v>
      </c>
      <c r="B16" s="14" t="n">
        <v>3</v>
      </c>
      <c r="C16" s="14" t="n">
        <v>3</v>
      </c>
      <c r="D16" s="14" t="n">
        <v>3</v>
      </c>
      <c r="E16" s="14" t="n">
        <v>3</v>
      </c>
      <c r="F16" s="14" t="n">
        <v>3</v>
      </c>
      <c r="G16" s="14" t="n">
        <v>1</v>
      </c>
      <c r="H16" s="14" t="n">
        <v>3</v>
      </c>
      <c r="I16" s="14" t="n">
        <v>1</v>
      </c>
      <c r="J16" s="14" t="n">
        <v>3</v>
      </c>
      <c r="K16" s="14" t="n">
        <v>2</v>
      </c>
      <c r="L16" s="14" t="n">
        <v>3</v>
      </c>
      <c r="M16" s="14" t="n">
        <v>2</v>
      </c>
    </row>
    <row r="17" customFormat="false" ht="15" hidden="false" customHeight="false" outlineLevel="0" collapsed="false">
      <c r="A17" s="8" t="s">
        <v>70</v>
      </c>
      <c r="B17" s="14" t="n">
        <v>4</v>
      </c>
      <c r="C17" s="14" t="n">
        <v>4</v>
      </c>
      <c r="D17" s="14" t="n">
        <v>3</v>
      </c>
      <c r="E17" s="14" t="n">
        <v>2</v>
      </c>
      <c r="F17" s="14" t="n">
        <v>3</v>
      </c>
      <c r="G17" s="14" t="n">
        <v>1</v>
      </c>
      <c r="H17" s="14" t="n">
        <v>2</v>
      </c>
      <c r="I17" s="14" t="n">
        <v>4</v>
      </c>
      <c r="J17" s="14" t="n">
        <v>3</v>
      </c>
      <c r="K17" s="14" t="n">
        <v>2</v>
      </c>
      <c r="L17" s="14" t="n">
        <v>2</v>
      </c>
      <c r="M17" s="14" t="n">
        <v>2</v>
      </c>
    </row>
    <row r="19" customFormat="false" ht="15" hidden="false" customHeight="false" outlineLevel="0" collapsed="false">
      <c r="A19" s="13" t="s">
        <v>56</v>
      </c>
    </row>
    <row r="20" customFormat="false" ht="31.5" hidden="false" customHeight="true" outlineLevel="0" collapsed="false">
      <c r="A20" s="6" t="s">
        <v>32</v>
      </c>
      <c r="B20" s="6" t="s">
        <v>33</v>
      </c>
      <c r="C20" s="6" t="s">
        <v>34</v>
      </c>
      <c r="D20" s="6" t="s">
        <v>35</v>
      </c>
      <c r="E20" s="6" t="s">
        <v>36</v>
      </c>
      <c r="F20" s="6" t="s">
        <v>37</v>
      </c>
      <c r="G20" s="6" t="s">
        <v>65</v>
      </c>
      <c r="H20" s="6" t="s">
        <v>66</v>
      </c>
      <c r="I20" s="6" t="s">
        <v>40</v>
      </c>
      <c r="J20" s="6" t="s">
        <v>41</v>
      </c>
      <c r="K20" s="6" t="s">
        <v>42</v>
      </c>
      <c r="L20" s="6" t="s">
        <v>43</v>
      </c>
      <c r="M20" s="6" t="s">
        <v>44</v>
      </c>
    </row>
    <row r="21" customFormat="false" ht="15" hidden="false" customHeight="false" outlineLevel="0" collapsed="false">
      <c r="A21" s="8" t="s">
        <v>67</v>
      </c>
      <c r="B21" s="14" t="n">
        <v>17</v>
      </c>
      <c r="C21" s="14" t="n">
        <v>17</v>
      </c>
      <c r="D21" s="14" t="n">
        <v>16</v>
      </c>
      <c r="E21" s="14" t="n">
        <v>17</v>
      </c>
      <c r="F21" s="14" t="n">
        <v>17</v>
      </c>
      <c r="G21" s="14" t="n">
        <v>17</v>
      </c>
      <c r="H21" s="14" t="n">
        <v>17</v>
      </c>
      <c r="I21" s="14" t="n">
        <v>16</v>
      </c>
      <c r="J21" s="14" t="n">
        <v>17</v>
      </c>
      <c r="K21" s="14" t="n">
        <v>17</v>
      </c>
      <c r="L21" s="14" t="n">
        <v>16</v>
      </c>
      <c r="M21" s="14" t="n">
        <v>17</v>
      </c>
    </row>
    <row r="22" customFormat="false" ht="15" hidden="false" customHeight="false" outlineLevel="0" collapsed="false">
      <c r="A22" s="8" t="s">
        <v>68</v>
      </c>
      <c r="B22" s="14" t="n">
        <v>15</v>
      </c>
      <c r="C22" s="14" t="n">
        <v>17</v>
      </c>
      <c r="D22" s="14" t="n">
        <v>17</v>
      </c>
      <c r="E22" s="14" t="n">
        <v>17</v>
      </c>
      <c r="F22" s="14" t="n">
        <v>17</v>
      </c>
      <c r="G22" s="14" t="n">
        <v>17</v>
      </c>
      <c r="H22" s="14" t="n">
        <v>17</v>
      </c>
      <c r="I22" s="14" t="n">
        <v>17</v>
      </c>
      <c r="J22" s="14" t="n">
        <v>17</v>
      </c>
      <c r="K22" s="14" t="n">
        <v>17</v>
      </c>
      <c r="L22" s="14" t="n">
        <v>17</v>
      </c>
      <c r="M22" s="14" t="n">
        <v>17</v>
      </c>
    </row>
    <row r="23" customFormat="false" ht="15" hidden="false" customHeight="false" outlineLevel="0" collapsed="false">
      <c r="A23" s="8" t="s">
        <v>69</v>
      </c>
      <c r="B23" s="14" t="n">
        <v>16</v>
      </c>
      <c r="C23" s="14" t="n">
        <v>16</v>
      </c>
      <c r="D23" s="14" t="n">
        <v>17</v>
      </c>
      <c r="E23" s="14" t="n">
        <v>17</v>
      </c>
      <c r="F23" s="14" t="n">
        <v>17</v>
      </c>
      <c r="G23" s="14" t="n">
        <v>17</v>
      </c>
      <c r="H23" s="14" t="n">
        <v>17</v>
      </c>
      <c r="I23" s="14" t="n">
        <v>17</v>
      </c>
      <c r="J23" s="14" t="n">
        <v>17</v>
      </c>
      <c r="K23" s="14" t="n">
        <v>17</v>
      </c>
      <c r="L23" s="14" t="n">
        <v>17</v>
      </c>
      <c r="M23" s="14" t="n">
        <v>17</v>
      </c>
    </row>
    <row r="24" customFormat="false" ht="15" hidden="false" customHeight="false" outlineLevel="0" collapsed="false">
      <c r="A24" s="8" t="s">
        <v>70</v>
      </c>
      <c r="B24" s="14" t="n">
        <v>17</v>
      </c>
      <c r="C24" s="14" t="n">
        <v>16</v>
      </c>
      <c r="D24" s="14" t="n">
        <v>16</v>
      </c>
      <c r="E24" s="14" t="n">
        <v>17</v>
      </c>
      <c r="F24" s="14" t="n">
        <v>17</v>
      </c>
      <c r="G24" s="14" t="n">
        <v>17</v>
      </c>
      <c r="H24" s="14" t="n">
        <v>17</v>
      </c>
      <c r="I24" s="14" t="n">
        <v>16</v>
      </c>
      <c r="J24" s="14" t="n">
        <v>15</v>
      </c>
      <c r="K24" s="14" t="n">
        <v>17</v>
      </c>
      <c r="L24" s="14" t="n">
        <v>16</v>
      </c>
      <c r="M24" s="14" t="n">
        <v>17</v>
      </c>
    </row>
    <row r="25" customFormat="false" ht="15" hidden="false" customHeight="false" outlineLevel="0" collapsed="false">
      <c r="A25" s="10" t="s">
        <v>54</v>
      </c>
      <c r="B25" s="17" t="n">
        <f aca="false">IF(COUNT(B21:B24)=0,"",AVERAGE(B21:B24))</f>
        <v>16.25</v>
      </c>
      <c r="C25" s="17" t="n">
        <f aca="false">IF(COUNT(C21:C24)=0,"",AVERAGE(C21:C24))</f>
        <v>16.5</v>
      </c>
      <c r="D25" s="17" t="n">
        <f aca="false">IF(COUNT(D21:D24)=0,"",AVERAGE(D21:D24))</f>
        <v>16.5</v>
      </c>
      <c r="E25" s="17" t="n">
        <f aca="false">IF(COUNT(E21:E24)=0,"",AVERAGE(E21:E24))</f>
        <v>17</v>
      </c>
      <c r="F25" s="17" t="n">
        <f aca="false">IF(COUNT(F21:F24)=0,"",AVERAGE(F21:F24))</f>
        <v>17</v>
      </c>
      <c r="G25" s="17" t="n">
        <f aca="false">IF(COUNT(G21:G24)=0,"",AVERAGE(G21:G24))</f>
        <v>17</v>
      </c>
      <c r="H25" s="17" t="n">
        <f aca="false">IF(COUNT(H21:H24)=0,"",AVERAGE(H21:H24))</f>
        <v>17</v>
      </c>
      <c r="I25" s="17" t="n">
        <f aca="false">IF(COUNT(I21:I24)=0,"",AVERAGE(I21:I24))</f>
        <v>16.5</v>
      </c>
      <c r="J25" s="17" t="n">
        <f aca="false">IF(COUNT(J21:J24)=0,"",AVERAGE(J21:J24))</f>
        <v>16.5</v>
      </c>
      <c r="K25" s="17" t="n">
        <f aca="false">IF(COUNT(K21:K24)=0,"",AVERAGE(K21:K24))</f>
        <v>17</v>
      </c>
      <c r="L25" s="17" t="n">
        <f aca="false">IF(COUNT(L21:L24)=0,"",AVERAGE(L21:L24))</f>
        <v>16.5</v>
      </c>
      <c r="M25" s="17" t="n">
        <f aca="false">IF(COUNT(M21:M24)=0,"",AVERAGE(M21:M24))</f>
        <v>17</v>
      </c>
    </row>
    <row r="27" customFormat="false" ht="15" hidden="false" customHeight="false" outlineLevel="0" collapsed="false">
      <c r="A27" s="13" t="s">
        <v>57</v>
      </c>
    </row>
    <row r="28" customFormat="false" ht="31.5" hidden="false" customHeight="true" outlineLevel="0" collapsed="false">
      <c r="A28" s="6" t="s">
        <v>32</v>
      </c>
      <c r="B28" s="6" t="s">
        <v>33</v>
      </c>
      <c r="C28" s="6" t="s">
        <v>34</v>
      </c>
      <c r="D28" s="6" t="s">
        <v>35</v>
      </c>
      <c r="E28" s="6" t="s">
        <v>36</v>
      </c>
      <c r="F28" s="6" t="s">
        <v>37</v>
      </c>
      <c r="G28" s="6" t="s">
        <v>65</v>
      </c>
      <c r="H28" s="6" t="s">
        <v>66</v>
      </c>
      <c r="I28" s="6" t="s">
        <v>40</v>
      </c>
      <c r="J28" s="6" t="s">
        <v>41</v>
      </c>
      <c r="K28" s="6" t="s">
        <v>42</v>
      </c>
      <c r="L28" s="6" t="s">
        <v>43</v>
      </c>
      <c r="M28" s="6" t="s">
        <v>44</v>
      </c>
    </row>
    <row r="29" customFormat="false" ht="15" hidden="false" customHeight="false" outlineLevel="0" collapsed="false">
      <c r="A29" s="8" t="s">
        <v>67</v>
      </c>
      <c r="B29" s="14" t="n">
        <v>16</v>
      </c>
      <c r="C29" s="14" t="n">
        <v>16</v>
      </c>
      <c r="D29" s="14" t="n">
        <v>18</v>
      </c>
      <c r="E29" s="14" t="n">
        <v>21</v>
      </c>
      <c r="F29" s="14" t="n">
        <v>21</v>
      </c>
      <c r="G29" s="14" t="n">
        <v>26</v>
      </c>
      <c r="H29" s="14" t="n">
        <v>27</v>
      </c>
      <c r="I29" s="14" t="n">
        <v>25</v>
      </c>
      <c r="J29" s="14" t="n">
        <v>28</v>
      </c>
      <c r="K29" s="14" t="n">
        <v>26</v>
      </c>
      <c r="L29" s="14" t="n">
        <v>26</v>
      </c>
      <c r="M29" s="14" t="n">
        <v>28</v>
      </c>
    </row>
    <row r="30" customFormat="false" ht="15" hidden="false" customHeight="false" outlineLevel="0" collapsed="false">
      <c r="A30" s="8" t="s">
        <v>68</v>
      </c>
      <c r="B30" s="14" t="n">
        <v>12</v>
      </c>
      <c r="C30" s="14" t="n">
        <v>20</v>
      </c>
      <c r="D30" s="14" t="n">
        <v>21</v>
      </c>
      <c r="E30" s="14" t="n">
        <v>25</v>
      </c>
      <c r="F30" s="14" t="n">
        <v>26</v>
      </c>
      <c r="G30" s="14" t="n">
        <v>28</v>
      </c>
      <c r="H30" s="14" t="n">
        <v>26</v>
      </c>
      <c r="I30" s="14" t="n">
        <v>25</v>
      </c>
      <c r="J30" s="14" t="n">
        <v>22</v>
      </c>
      <c r="K30" s="14" t="n">
        <v>26</v>
      </c>
      <c r="L30" s="14" t="n">
        <v>26</v>
      </c>
      <c r="M30" s="14" t="n">
        <v>28</v>
      </c>
    </row>
    <row r="31" customFormat="false" ht="15" hidden="false" customHeight="false" outlineLevel="0" collapsed="false">
      <c r="A31" s="8" t="s">
        <v>69</v>
      </c>
      <c r="B31" s="14" t="n">
        <v>16</v>
      </c>
      <c r="C31" s="14" t="n">
        <v>17</v>
      </c>
      <c r="D31" s="14" t="n">
        <v>16</v>
      </c>
      <c r="E31" s="14" t="n">
        <v>17</v>
      </c>
      <c r="F31" s="14" t="n">
        <v>18</v>
      </c>
      <c r="G31" s="14" t="n">
        <v>24</v>
      </c>
      <c r="H31" s="14" t="n">
        <v>20</v>
      </c>
      <c r="I31" s="14" t="n">
        <v>26</v>
      </c>
      <c r="J31" s="14" t="n">
        <v>19</v>
      </c>
      <c r="K31" s="14" t="n">
        <v>23</v>
      </c>
      <c r="L31" s="14" t="n">
        <v>17</v>
      </c>
      <c r="M31" s="14" t="n">
        <v>23</v>
      </c>
    </row>
    <row r="32" customFormat="false" ht="15" hidden="false" customHeight="false" outlineLevel="0" collapsed="false">
      <c r="A32" s="8" t="s">
        <v>70</v>
      </c>
      <c r="B32" s="14" t="n">
        <v>15</v>
      </c>
      <c r="C32" s="14" t="n">
        <v>15</v>
      </c>
      <c r="D32" s="14" t="n">
        <v>17</v>
      </c>
      <c r="E32" s="14" t="n">
        <v>21</v>
      </c>
      <c r="F32" s="14" t="n">
        <v>18</v>
      </c>
      <c r="G32" s="14" t="n">
        <v>25</v>
      </c>
      <c r="H32" s="14" t="n">
        <v>22</v>
      </c>
      <c r="I32" s="14" t="n">
        <v>17</v>
      </c>
      <c r="J32" s="14" t="n">
        <v>18</v>
      </c>
      <c r="K32" s="14" t="n">
        <v>24</v>
      </c>
      <c r="L32" s="14" t="n">
        <v>23</v>
      </c>
      <c r="M32" s="14" t="n">
        <v>20</v>
      </c>
    </row>
    <row r="33" customFormat="false" ht="15" hidden="false" customHeight="false" outlineLevel="0" collapsed="false">
      <c r="A33" s="10" t="s">
        <v>54</v>
      </c>
      <c r="B33" s="17" t="n">
        <f aca="false">IF(COUNT(B29:B32)=0,"",AVERAGE(B29:B32))</f>
        <v>14.75</v>
      </c>
      <c r="C33" s="17" t="n">
        <f aca="false">IF(COUNT(C29:C32)=0,"",AVERAGE(C29:C32))</f>
        <v>17</v>
      </c>
      <c r="D33" s="17" t="n">
        <f aca="false">IF(COUNT(D29:D32)=0,"",AVERAGE(D29:D32))</f>
        <v>18</v>
      </c>
      <c r="E33" s="17" t="n">
        <f aca="false">IF(COUNT(E29:E32)=0,"",AVERAGE(E29:E32))</f>
        <v>21</v>
      </c>
      <c r="F33" s="17" t="n">
        <f aca="false">IF(COUNT(F29:F32)=0,"",AVERAGE(F29:F32))</f>
        <v>20.75</v>
      </c>
      <c r="G33" s="17" t="n">
        <f aca="false">IF(COUNT(G29:G32)=0,"",AVERAGE(G29:G32))</f>
        <v>25.75</v>
      </c>
      <c r="H33" s="17" t="n">
        <f aca="false">IF(COUNT(H29:H32)=0,"",AVERAGE(H29:H32))</f>
        <v>23.75</v>
      </c>
      <c r="I33" s="17" t="n">
        <f aca="false">IF(COUNT(I29:I32)=0,"",AVERAGE(I29:I32))</f>
        <v>23.25</v>
      </c>
      <c r="J33" s="17" t="n">
        <f aca="false">IF(COUNT(J29:J32)=0,"",AVERAGE(J29:J32))</f>
        <v>21.75</v>
      </c>
      <c r="K33" s="17" t="n">
        <f aca="false">IF(COUNT(K29:K32)=0,"",AVERAGE(K29:K32))</f>
        <v>24.75</v>
      </c>
      <c r="L33" s="17" t="n">
        <f aca="false">IF(COUNT(L29:L32)=0,"",AVERAGE(L29:L32))</f>
        <v>23</v>
      </c>
      <c r="M33" s="17" t="n">
        <f aca="false">IF(COUNT(M29:M32)=0,"",AVERAGE(M29:M32))</f>
        <v>24.75</v>
      </c>
    </row>
    <row r="35" customFormat="false" ht="15" hidden="false" customHeight="false" outlineLevel="0" collapsed="false">
      <c r="A35" s="13" t="s">
        <v>58</v>
      </c>
    </row>
    <row r="36" customFormat="false" ht="31.5" hidden="false" customHeight="true" outlineLevel="0" collapsed="false">
      <c r="A36" s="6" t="s">
        <v>32</v>
      </c>
      <c r="B36" s="6" t="s">
        <v>71</v>
      </c>
      <c r="C36" s="6" t="s">
        <v>72</v>
      </c>
      <c r="D36" s="6" t="s">
        <v>73</v>
      </c>
      <c r="E36" s="6" t="s">
        <v>74</v>
      </c>
      <c r="F36" s="6" t="s">
        <v>75</v>
      </c>
      <c r="G36" s="6" t="s">
        <v>76</v>
      </c>
      <c r="H36" s="6" t="s">
        <v>54</v>
      </c>
    </row>
    <row r="37" customFormat="false" ht="15" hidden="false" customHeight="false" outlineLevel="0" collapsed="false">
      <c r="A37" s="8" t="s">
        <v>67</v>
      </c>
      <c r="B37" s="14" t="n">
        <v>100</v>
      </c>
      <c r="C37" s="14" t="n">
        <v>100</v>
      </c>
      <c r="D37" s="14" t="n">
        <v>100</v>
      </c>
      <c r="E37" s="14" t="n">
        <v>100</v>
      </c>
      <c r="F37" s="14" t="n">
        <v>100</v>
      </c>
      <c r="G37" s="14" t="n">
        <v>100</v>
      </c>
      <c r="H37" s="18" t="n">
        <f aca="false">IF(COUNT(B37:G37)=0,"",AVERAGE(B37:G37))</f>
        <v>100</v>
      </c>
    </row>
    <row r="38" customFormat="false" ht="15" hidden="false" customHeight="false" outlineLevel="0" collapsed="false">
      <c r="A38" s="8" t="s">
        <v>68</v>
      </c>
      <c r="B38" s="14" t="n">
        <v>98</v>
      </c>
      <c r="C38" s="14" t="n">
        <v>100</v>
      </c>
      <c r="D38" s="14" t="n">
        <v>100</v>
      </c>
      <c r="E38" s="14" t="n">
        <v>100</v>
      </c>
      <c r="F38" s="14" t="n">
        <v>100</v>
      </c>
      <c r="G38" s="14" t="n">
        <v>100</v>
      </c>
      <c r="H38" s="18" t="n">
        <f aca="false">IF(COUNT(B38:G38)=0,"",AVERAGE(B38:G38))</f>
        <v>99.6666666666667</v>
      </c>
    </row>
    <row r="39" customFormat="false" ht="15" hidden="false" customHeight="false" outlineLevel="0" collapsed="false">
      <c r="A39" s="8" t="s">
        <v>69</v>
      </c>
      <c r="B39" s="14" t="n">
        <v>95</v>
      </c>
      <c r="C39" s="14" t="n">
        <v>95</v>
      </c>
      <c r="D39" s="14" t="n">
        <v>90</v>
      </c>
      <c r="E39" s="14" t="n">
        <v>100</v>
      </c>
      <c r="F39" s="14" t="n">
        <v>96</v>
      </c>
      <c r="G39" s="14" t="n">
        <v>98</v>
      </c>
      <c r="H39" s="18" t="n">
        <f aca="false">IF(COUNT(B39:G39)=0,"",AVERAGE(B39:G39))</f>
        <v>95.6666666666667</v>
      </c>
    </row>
    <row r="40" customFormat="false" ht="15" hidden="false" customHeight="false" outlineLevel="0" collapsed="false">
      <c r="A40" s="8" t="s">
        <v>70</v>
      </c>
      <c r="B40" s="14" t="n">
        <v>99</v>
      </c>
      <c r="C40" s="14" t="n">
        <v>96</v>
      </c>
      <c r="D40" s="14" t="n">
        <v>89</v>
      </c>
      <c r="E40" s="14" t="n">
        <v>95</v>
      </c>
      <c r="F40" s="14" t="n">
        <v>98</v>
      </c>
      <c r="G40" s="14" t="n">
        <v>99</v>
      </c>
      <c r="H40" s="18" t="n">
        <f aca="false">IF(COUNT(B40:G40)=0,"",AVERAGE(B40:G40))</f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0"/>
  </cols>
  <sheetData>
    <row r="1" customFormat="false" ht="19.4" hidden="false" customHeight="false" outlineLevel="0" collapsed="false">
      <c r="A1" s="12" t="s">
        <v>77</v>
      </c>
    </row>
    <row r="2" customFormat="false" ht="15" hidden="false" customHeight="false" outlineLevel="0" collapsed="false">
      <c r="A2" s="5" t="s">
        <v>78</v>
      </c>
    </row>
    <row r="4" customFormat="false" ht="15" hidden="false" customHeight="false" outlineLevel="0" collapsed="false">
      <c r="A4" s="13" t="s">
        <v>31</v>
      </c>
    </row>
    <row r="5" customFormat="false" ht="31.5" hidden="false" customHeight="true" outlineLevel="0" collapsed="false">
      <c r="A5" s="6" t="s">
        <v>32</v>
      </c>
      <c r="B5" s="6" t="s">
        <v>33</v>
      </c>
      <c r="C5" s="6" t="s">
        <v>34</v>
      </c>
      <c r="D5" s="6" t="s">
        <v>35</v>
      </c>
      <c r="E5" s="6" t="s">
        <v>36</v>
      </c>
      <c r="F5" s="6" t="s">
        <v>65</v>
      </c>
      <c r="G5" s="6" t="s">
        <v>66</v>
      </c>
      <c r="H5" s="6" t="s">
        <v>40</v>
      </c>
      <c r="I5" s="6" t="s">
        <v>46</v>
      </c>
      <c r="J5" s="6" t="s">
        <v>47</v>
      </c>
      <c r="K5" s="6" t="s">
        <v>48</v>
      </c>
      <c r="L5" s="6" t="s">
        <v>49</v>
      </c>
    </row>
    <row r="6" customFormat="false" ht="15" hidden="false" customHeight="false" outlineLevel="0" collapsed="false">
      <c r="A6" s="8" t="s">
        <v>79</v>
      </c>
      <c r="B6" s="14" t="n">
        <v>63</v>
      </c>
      <c r="C6" s="14" t="n">
        <v>67</v>
      </c>
      <c r="D6" s="14" t="n">
        <v>68</v>
      </c>
      <c r="E6" s="14" t="n">
        <v>61</v>
      </c>
      <c r="F6" s="14" t="n">
        <v>66</v>
      </c>
      <c r="G6" s="14" t="n">
        <v>75</v>
      </c>
      <c r="H6" s="14" t="n">
        <v>77</v>
      </c>
      <c r="I6" s="15" t="n">
        <f aca="false">B6</f>
        <v>63</v>
      </c>
      <c r="J6" s="15" t="n">
        <f aca="false">LOOKUP(9.99E+307,B6:H6)</f>
        <v>77</v>
      </c>
      <c r="K6" s="16" t="n">
        <f aca="false">J6-I6</f>
        <v>14</v>
      </c>
      <c r="L6" s="15" t="n">
        <f aca="false">MAX(B6:H6)</f>
        <v>77</v>
      </c>
    </row>
    <row r="7" customFormat="false" ht="15" hidden="false" customHeight="false" outlineLevel="0" collapsed="false">
      <c r="A7" s="8" t="s">
        <v>80</v>
      </c>
      <c r="B7" s="14" t="n">
        <v>59</v>
      </c>
      <c r="C7" s="14" t="n">
        <v>86</v>
      </c>
      <c r="D7" s="14" t="n">
        <v>76</v>
      </c>
      <c r="E7" s="14" t="n">
        <v>78</v>
      </c>
      <c r="F7" s="14" t="n">
        <v>87</v>
      </c>
      <c r="G7" s="14" t="n">
        <v>73</v>
      </c>
      <c r="H7" s="14" t="n">
        <v>76</v>
      </c>
      <c r="I7" s="15" t="n">
        <f aca="false">B7</f>
        <v>59</v>
      </c>
      <c r="J7" s="15" t="n">
        <f aca="false">LOOKUP(9.99E+307,B7:H7)</f>
        <v>76</v>
      </c>
      <c r="K7" s="16" t="n">
        <f aca="false">J7-I7</f>
        <v>17</v>
      </c>
      <c r="L7" s="15" t="n">
        <f aca="false">MAX(B7:H7)</f>
        <v>87</v>
      </c>
    </row>
    <row r="8" customFormat="false" ht="15" hidden="false" customHeight="false" outlineLevel="0" collapsed="false">
      <c r="A8" s="8" t="s">
        <v>81</v>
      </c>
      <c r="B8" s="14" t="n">
        <v>88</v>
      </c>
      <c r="C8" s="14" t="n">
        <v>94</v>
      </c>
      <c r="D8" s="14" t="n">
        <v>91</v>
      </c>
      <c r="E8" s="14" t="n">
        <v>94</v>
      </c>
      <c r="F8" s="14" t="n">
        <v>87</v>
      </c>
      <c r="G8" s="14" t="n">
        <v>100</v>
      </c>
      <c r="H8" s="14" t="n">
        <v>95</v>
      </c>
      <c r="I8" s="15" t="n">
        <f aca="false">B8</f>
        <v>88</v>
      </c>
      <c r="J8" s="15" t="n">
        <f aca="false">LOOKUP(9.99E+307,B8:H8)</f>
        <v>95</v>
      </c>
      <c r="K8" s="16" t="n">
        <f aca="false">J8-I8</f>
        <v>7</v>
      </c>
      <c r="L8" s="15" t="n">
        <f aca="false">MAX(B8:H8)</f>
        <v>100</v>
      </c>
    </row>
    <row r="9" customFormat="false" ht="15" hidden="false" customHeight="false" outlineLevel="0" collapsed="false">
      <c r="A9" s="8" t="s">
        <v>82</v>
      </c>
      <c r="B9" s="14" t="n">
        <v>67</v>
      </c>
      <c r="C9" s="14" t="n">
        <v>74</v>
      </c>
      <c r="D9" s="14" t="n">
        <v>71</v>
      </c>
      <c r="E9" s="14" t="n">
        <v>91</v>
      </c>
      <c r="F9" s="14" t="n">
        <v>88</v>
      </c>
      <c r="G9" s="14" t="n">
        <v>74</v>
      </c>
      <c r="H9" s="14" t="n">
        <v>82</v>
      </c>
      <c r="I9" s="15" t="n">
        <f aca="false">B9</f>
        <v>67</v>
      </c>
      <c r="J9" s="15" t="n">
        <f aca="false">LOOKUP(9.99E+307,B9:H9)</f>
        <v>82</v>
      </c>
      <c r="K9" s="16" t="n">
        <f aca="false">J9-I9</f>
        <v>15</v>
      </c>
      <c r="L9" s="15" t="n">
        <f aca="false">MAX(B9:H9)</f>
        <v>91</v>
      </c>
    </row>
    <row r="10" customFormat="false" ht="15" hidden="false" customHeight="false" outlineLevel="0" collapsed="false">
      <c r="A10" s="8" t="s">
        <v>83</v>
      </c>
      <c r="B10" s="14" t="n">
        <v>51</v>
      </c>
      <c r="C10" s="14" t="n">
        <v>57</v>
      </c>
      <c r="D10" s="14" t="n">
        <v>68</v>
      </c>
      <c r="E10" s="14" t="n">
        <v>86</v>
      </c>
      <c r="F10" s="14" t="n">
        <v>73</v>
      </c>
      <c r="G10" s="14" t="n">
        <v>82</v>
      </c>
      <c r="H10" s="14" t="n">
        <v>80</v>
      </c>
      <c r="I10" s="15" t="n">
        <f aca="false">B10</f>
        <v>51</v>
      </c>
      <c r="J10" s="15" t="n">
        <f aca="false">LOOKUP(9.99E+307,B10:H10)</f>
        <v>80</v>
      </c>
      <c r="K10" s="16" t="n">
        <f aca="false">J10-I10</f>
        <v>29</v>
      </c>
      <c r="L10" s="15" t="n">
        <f aca="false">MAX(B10:H10)</f>
        <v>86</v>
      </c>
    </row>
    <row r="11" customFormat="false" ht="15" hidden="false" customHeight="false" outlineLevel="0" collapsed="false">
      <c r="A11" s="8" t="s">
        <v>84</v>
      </c>
      <c r="B11" s="14" t="n">
        <v>62</v>
      </c>
      <c r="C11" s="14" t="n">
        <v>61</v>
      </c>
      <c r="D11" s="14" t="n">
        <v>69</v>
      </c>
      <c r="E11" s="14" t="n">
        <v>78</v>
      </c>
      <c r="F11" s="14" t="n">
        <v>73</v>
      </c>
      <c r="G11" s="14" t="n">
        <v>71</v>
      </c>
      <c r="H11" s="14" t="n">
        <v>77</v>
      </c>
      <c r="I11" s="15" t="n">
        <f aca="false">B11</f>
        <v>62</v>
      </c>
      <c r="J11" s="15" t="n">
        <f aca="false">LOOKUP(9.99E+307,B11:H11)</f>
        <v>77</v>
      </c>
      <c r="K11" s="16" t="n">
        <f aca="false">J11-I11</f>
        <v>15</v>
      </c>
      <c r="L11" s="15" t="n">
        <f aca="false">MAX(B11:H11)</f>
        <v>78</v>
      </c>
    </row>
    <row r="12" customFormat="false" ht="15" hidden="false" customHeight="false" outlineLevel="0" collapsed="false">
      <c r="A12" s="10" t="s">
        <v>54</v>
      </c>
      <c r="B12" s="17" t="n">
        <f aca="false">IF(COUNT(B6:B11)=0,"",AVERAGE(B6:B11))</f>
        <v>65</v>
      </c>
      <c r="C12" s="17" t="n">
        <f aca="false">IF(COUNT(C6:C11)=0,"",AVERAGE(C6:C11))</f>
        <v>73.1666666666667</v>
      </c>
      <c r="D12" s="17" t="n">
        <f aca="false">IF(COUNT(D6:D11)=0,"",AVERAGE(D6:D11))</f>
        <v>73.8333333333333</v>
      </c>
      <c r="E12" s="17" t="n">
        <f aca="false">IF(COUNT(E6:E11)=0,"",AVERAGE(E6:E11))</f>
        <v>81.3333333333333</v>
      </c>
      <c r="F12" s="17" t="n">
        <f aca="false">IF(COUNT(F6:F11)=0,"",AVERAGE(F6:F11))</f>
        <v>79</v>
      </c>
      <c r="G12" s="17" t="n">
        <f aca="false">IF(COUNT(G6:G11)=0,"",AVERAGE(G6:G11))</f>
        <v>79.1666666666667</v>
      </c>
      <c r="H12" s="17" t="n">
        <f aca="false">IF(COUNT(H6:H11)=0,"",AVERAGE(H6:H11))</f>
        <v>81.1666666666667</v>
      </c>
    </row>
    <row r="14" customFormat="false" ht="15" hidden="false" customHeight="false" outlineLevel="0" collapsed="false">
      <c r="A14" s="13" t="s">
        <v>55</v>
      </c>
    </row>
    <row r="15" customFormat="false" ht="31.5" hidden="false" customHeight="true" outlineLevel="0" collapsed="false">
      <c r="A15" s="6" t="s">
        <v>32</v>
      </c>
      <c r="B15" s="6" t="s">
        <v>33</v>
      </c>
      <c r="C15" s="6" t="s">
        <v>34</v>
      </c>
      <c r="D15" s="6" t="s">
        <v>35</v>
      </c>
      <c r="E15" s="6" t="s">
        <v>36</v>
      </c>
      <c r="F15" s="6" t="s">
        <v>65</v>
      </c>
      <c r="G15" s="6" t="s">
        <v>66</v>
      </c>
      <c r="H15" s="6" t="s">
        <v>40</v>
      </c>
    </row>
    <row r="16" customFormat="false" ht="15" hidden="false" customHeight="false" outlineLevel="0" collapsed="false">
      <c r="A16" s="8" t="s">
        <v>79</v>
      </c>
      <c r="B16" s="14" t="n">
        <v>4</v>
      </c>
      <c r="C16" s="14" t="n">
        <v>4</v>
      </c>
      <c r="D16" s="14" t="n">
        <v>4</v>
      </c>
      <c r="E16" s="14" t="n">
        <v>4</v>
      </c>
      <c r="F16" s="14" t="n">
        <v>4</v>
      </c>
      <c r="G16" s="14" t="n">
        <v>3</v>
      </c>
      <c r="H16" s="14" t="n">
        <v>3</v>
      </c>
    </row>
    <row r="17" customFormat="false" ht="15" hidden="false" customHeight="false" outlineLevel="0" collapsed="false">
      <c r="A17" s="8" t="s">
        <v>80</v>
      </c>
      <c r="B17" s="14" t="n">
        <v>5</v>
      </c>
      <c r="C17" s="14" t="n">
        <v>2</v>
      </c>
      <c r="D17" s="14" t="n">
        <v>3</v>
      </c>
      <c r="E17" s="14" t="n">
        <v>3</v>
      </c>
      <c r="F17" s="14" t="n">
        <v>2</v>
      </c>
      <c r="G17" s="14" t="n">
        <v>3</v>
      </c>
      <c r="H17" s="14" t="n">
        <v>3</v>
      </c>
    </row>
    <row r="18" customFormat="false" ht="15" hidden="false" customHeight="false" outlineLevel="0" collapsed="false">
      <c r="A18" s="8" t="s">
        <v>81</v>
      </c>
      <c r="B18" s="14" t="n">
        <v>2</v>
      </c>
      <c r="C18" s="14" t="n">
        <v>1</v>
      </c>
      <c r="D18" s="14" t="n">
        <v>1</v>
      </c>
      <c r="E18" s="14" t="n">
        <v>1</v>
      </c>
      <c r="F18" s="14" t="n">
        <v>2</v>
      </c>
      <c r="G18" s="14" t="n">
        <v>1</v>
      </c>
      <c r="H18" s="14" t="n">
        <v>1</v>
      </c>
    </row>
    <row r="19" customFormat="false" ht="15" hidden="false" customHeight="false" outlineLevel="0" collapsed="false">
      <c r="A19" s="8" t="s">
        <v>82</v>
      </c>
      <c r="B19" s="14" t="n">
        <v>4</v>
      </c>
      <c r="C19" s="14" t="n">
        <v>3</v>
      </c>
      <c r="D19" s="14" t="n">
        <v>3</v>
      </c>
      <c r="E19" s="14" t="n">
        <v>1</v>
      </c>
      <c r="F19" s="14" t="n">
        <v>2</v>
      </c>
      <c r="G19" s="14" t="n">
        <v>3</v>
      </c>
      <c r="H19" s="14" t="n">
        <v>2</v>
      </c>
    </row>
    <row r="20" customFormat="false" ht="15" hidden="false" customHeight="false" outlineLevel="0" collapsed="false">
      <c r="A20" s="8" t="s">
        <v>83</v>
      </c>
      <c r="B20" s="14" t="n">
        <v>5</v>
      </c>
      <c r="C20" s="14" t="n">
        <v>5</v>
      </c>
      <c r="D20" s="14" t="n">
        <v>4</v>
      </c>
      <c r="E20" s="14" t="n">
        <v>2</v>
      </c>
      <c r="F20" s="14" t="n">
        <v>3</v>
      </c>
      <c r="G20" s="14" t="n">
        <v>2</v>
      </c>
      <c r="H20" s="14" t="n">
        <v>2</v>
      </c>
    </row>
    <row r="21" customFormat="false" ht="15" hidden="false" customHeight="false" outlineLevel="0" collapsed="false">
      <c r="A21" s="8" t="s">
        <v>84</v>
      </c>
      <c r="B21" s="14" t="n">
        <v>4</v>
      </c>
      <c r="C21" s="14" t="n">
        <v>4</v>
      </c>
      <c r="D21" s="14" t="n">
        <v>4</v>
      </c>
      <c r="E21" s="14" t="n">
        <v>3</v>
      </c>
      <c r="F21" s="14" t="n">
        <v>3</v>
      </c>
      <c r="G21" s="14" t="n">
        <v>3</v>
      </c>
      <c r="H21" s="14" t="n">
        <v>3</v>
      </c>
    </row>
    <row r="23" customFormat="false" ht="15" hidden="false" customHeight="false" outlineLevel="0" collapsed="false">
      <c r="A23" s="13" t="s">
        <v>56</v>
      </c>
    </row>
    <row r="24" customFormat="false" ht="31.5" hidden="false" customHeight="true" outlineLevel="0" collapsed="false">
      <c r="A24" s="6" t="s">
        <v>32</v>
      </c>
      <c r="B24" s="6" t="s">
        <v>33</v>
      </c>
      <c r="C24" s="6" t="s">
        <v>34</v>
      </c>
      <c r="D24" s="6" t="s">
        <v>35</v>
      </c>
      <c r="E24" s="6" t="s">
        <v>36</v>
      </c>
      <c r="F24" s="6" t="s">
        <v>65</v>
      </c>
      <c r="G24" s="6" t="s">
        <v>66</v>
      </c>
      <c r="H24" s="6" t="s">
        <v>40</v>
      </c>
    </row>
    <row r="25" customFormat="false" ht="15" hidden="false" customHeight="false" outlineLevel="0" collapsed="false">
      <c r="A25" s="8" t="s">
        <v>79</v>
      </c>
      <c r="B25" s="14" t="n">
        <v>14</v>
      </c>
      <c r="C25" s="14"/>
      <c r="D25" s="14" t="n">
        <v>16</v>
      </c>
      <c r="E25" s="14" t="n">
        <v>16</v>
      </c>
      <c r="F25" s="14" t="n">
        <v>15</v>
      </c>
      <c r="G25" s="14" t="n">
        <v>16</v>
      </c>
      <c r="H25" s="14" t="n">
        <v>17</v>
      </c>
    </row>
    <row r="26" customFormat="false" ht="15" hidden="false" customHeight="false" outlineLevel="0" collapsed="false">
      <c r="A26" s="8" t="s">
        <v>80</v>
      </c>
      <c r="B26" s="14" t="n">
        <v>17</v>
      </c>
      <c r="C26" s="14"/>
      <c r="D26" s="14" t="n">
        <v>17</v>
      </c>
      <c r="E26" s="14" t="n">
        <v>15</v>
      </c>
      <c r="F26" s="14" t="n">
        <v>17</v>
      </c>
      <c r="G26" s="14" t="n">
        <v>17</v>
      </c>
      <c r="H26" s="14" t="n">
        <v>16</v>
      </c>
    </row>
    <row r="27" customFormat="false" ht="15" hidden="false" customHeight="false" outlineLevel="0" collapsed="false">
      <c r="A27" s="8" t="s">
        <v>81</v>
      </c>
      <c r="B27" s="14" t="n">
        <v>17</v>
      </c>
      <c r="C27" s="14"/>
      <c r="D27" s="14" t="n">
        <v>17</v>
      </c>
      <c r="E27" s="14" t="n">
        <v>17</v>
      </c>
      <c r="F27" s="14" t="n">
        <v>17</v>
      </c>
      <c r="G27" s="14" t="n">
        <v>17</v>
      </c>
      <c r="H27" s="14" t="n">
        <v>17</v>
      </c>
    </row>
    <row r="28" customFormat="false" ht="15" hidden="false" customHeight="false" outlineLevel="0" collapsed="false">
      <c r="A28" s="8" t="s">
        <v>82</v>
      </c>
      <c r="B28" s="14" t="n">
        <v>15</v>
      </c>
      <c r="C28" s="14"/>
      <c r="D28" s="14" t="n">
        <v>15</v>
      </c>
      <c r="E28" s="14" t="n">
        <v>17</v>
      </c>
      <c r="F28" s="14" t="n">
        <v>17</v>
      </c>
      <c r="G28" s="14" t="n">
        <v>15</v>
      </c>
      <c r="H28" s="14" t="n">
        <v>17</v>
      </c>
    </row>
    <row r="29" customFormat="false" ht="15" hidden="false" customHeight="false" outlineLevel="0" collapsed="false">
      <c r="A29" s="8" t="s">
        <v>83</v>
      </c>
      <c r="B29" s="14" t="n">
        <v>16</v>
      </c>
      <c r="C29" s="14"/>
      <c r="D29" s="14" t="n">
        <v>16</v>
      </c>
      <c r="E29" s="14" t="n">
        <v>16</v>
      </c>
      <c r="F29" s="14" t="n">
        <v>17</v>
      </c>
      <c r="G29" s="14" t="n">
        <v>17</v>
      </c>
      <c r="H29" s="14" t="n">
        <v>17</v>
      </c>
    </row>
    <row r="30" customFormat="false" ht="15" hidden="false" customHeight="false" outlineLevel="0" collapsed="false">
      <c r="A30" s="8" t="s">
        <v>84</v>
      </c>
      <c r="B30" s="14"/>
      <c r="C30" s="14"/>
      <c r="D30" s="14" t="n">
        <v>16</v>
      </c>
      <c r="E30" s="14" t="n">
        <v>17</v>
      </c>
      <c r="F30" s="14" t="n">
        <v>17</v>
      </c>
      <c r="G30" s="14" t="n">
        <v>16</v>
      </c>
      <c r="H30" s="14" t="n">
        <v>17</v>
      </c>
    </row>
    <row r="31" customFormat="false" ht="15" hidden="false" customHeight="false" outlineLevel="0" collapsed="false">
      <c r="A31" s="10" t="s">
        <v>54</v>
      </c>
      <c r="B31" s="17" t="n">
        <f aca="false">IF(COUNT(B25:B30)=0,"",AVERAGE(B25:B30))</f>
        <v>15.8</v>
      </c>
      <c r="C31" s="17" t="str">
        <f aca="false">IF(COUNT(C25:C30)=0,"",AVERAGE(C25:C30))</f>
        <v/>
      </c>
      <c r="D31" s="17" t="n">
        <f aca="false">IF(COUNT(D25:D30)=0,"",AVERAGE(D25:D30))</f>
        <v>16.1666666666667</v>
      </c>
      <c r="E31" s="17" t="n">
        <f aca="false">IF(COUNT(E25:E30)=0,"",AVERAGE(E25:E30))</f>
        <v>16.3333333333333</v>
      </c>
      <c r="F31" s="17" t="n">
        <f aca="false">IF(COUNT(F25:F30)=0,"",AVERAGE(F25:F30))</f>
        <v>16.6666666666667</v>
      </c>
      <c r="G31" s="17" t="n">
        <f aca="false">IF(COUNT(G25:G30)=0,"",AVERAGE(G25:G30))</f>
        <v>16.3333333333333</v>
      </c>
      <c r="H31" s="17" t="n">
        <f aca="false">IF(COUNT(H25:H30)=0,"",AVERAGE(H25:H30))</f>
        <v>16.8333333333333</v>
      </c>
    </row>
    <row r="33" customFormat="false" ht="15" hidden="false" customHeight="false" outlineLevel="0" collapsed="false">
      <c r="A33" s="13" t="s">
        <v>57</v>
      </c>
    </row>
    <row r="34" customFormat="false" ht="31.5" hidden="false" customHeight="true" outlineLevel="0" collapsed="false">
      <c r="A34" s="6" t="s">
        <v>32</v>
      </c>
      <c r="B34" s="6" t="s">
        <v>33</v>
      </c>
      <c r="C34" s="6" t="s">
        <v>34</v>
      </c>
      <c r="D34" s="6" t="s">
        <v>35</v>
      </c>
      <c r="E34" s="6" t="s">
        <v>36</v>
      </c>
      <c r="F34" s="6" t="s">
        <v>65</v>
      </c>
      <c r="G34" s="6" t="s">
        <v>66</v>
      </c>
      <c r="H34" s="6" t="s">
        <v>40</v>
      </c>
    </row>
    <row r="35" customFormat="false" ht="15" hidden="false" customHeight="false" outlineLevel="0" collapsed="false">
      <c r="A35" s="8" t="s">
        <v>79</v>
      </c>
      <c r="B35" s="14" t="n">
        <v>16</v>
      </c>
      <c r="C35" s="14"/>
      <c r="D35" s="14" t="n">
        <v>16</v>
      </c>
      <c r="E35" s="14" t="n">
        <v>13</v>
      </c>
      <c r="F35" s="14" t="n">
        <v>16</v>
      </c>
      <c r="G35" s="14" t="n">
        <v>18</v>
      </c>
      <c r="H35" s="14" t="n">
        <v>19</v>
      </c>
    </row>
    <row r="36" customFormat="false" ht="15" hidden="false" customHeight="false" outlineLevel="0" collapsed="false">
      <c r="A36" s="8" t="s">
        <v>80</v>
      </c>
      <c r="B36" s="14" t="n">
        <v>11</v>
      </c>
      <c r="C36" s="14"/>
      <c r="D36" s="14" t="n">
        <v>18</v>
      </c>
      <c r="E36" s="14" t="n">
        <v>21</v>
      </c>
      <c r="F36" s="14" t="n">
        <v>23</v>
      </c>
      <c r="G36" s="14" t="n">
        <v>17</v>
      </c>
      <c r="H36" s="14" t="n">
        <v>19</v>
      </c>
    </row>
    <row r="37" customFormat="false" ht="15" hidden="false" customHeight="false" outlineLevel="0" collapsed="false">
      <c r="A37" s="8" t="s">
        <v>81</v>
      </c>
      <c r="B37" s="14" t="n">
        <v>23</v>
      </c>
      <c r="C37" s="14"/>
      <c r="D37" s="14" t="n">
        <v>24</v>
      </c>
      <c r="E37" s="14" t="n">
        <v>26</v>
      </c>
      <c r="F37" s="14" t="n">
        <v>23</v>
      </c>
      <c r="G37" s="14" t="n">
        <v>28</v>
      </c>
      <c r="H37" s="14" t="n">
        <v>26</v>
      </c>
    </row>
    <row r="38" customFormat="false" ht="15" hidden="false" customHeight="false" outlineLevel="0" collapsed="false">
      <c r="A38" s="8" t="s">
        <v>82</v>
      </c>
      <c r="B38" s="14" t="n">
        <v>17</v>
      </c>
      <c r="C38" s="14"/>
      <c r="D38" s="14" t="n">
        <v>18</v>
      </c>
      <c r="E38" s="14" t="n">
        <v>24</v>
      </c>
      <c r="F38" s="14" t="n">
        <v>24</v>
      </c>
      <c r="G38" s="14" t="n">
        <v>20</v>
      </c>
      <c r="H38" s="14" t="n">
        <v>21</v>
      </c>
    </row>
    <row r="39" customFormat="false" ht="15" hidden="false" customHeight="false" outlineLevel="0" collapsed="false">
      <c r="A39" s="8" t="s">
        <v>83</v>
      </c>
      <c r="B39" s="14" t="n">
        <v>8</v>
      </c>
      <c r="C39" s="14"/>
      <c r="D39" s="14" t="n">
        <v>16</v>
      </c>
      <c r="E39" s="14" t="n">
        <v>23</v>
      </c>
      <c r="F39" s="14" t="n">
        <v>18</v>
      </c>
      <c r="G39" s="14" t="n">
        <v>21</v>
      </c>
      <c r="H39" s="14" t="n">
        <v>20</v>
      </c>
    </row>
    <row r="40" customFormat="false" ht="15" hidden="false" customHeight="false" outlineLevel="0" collapsed="false">
      <c r="A40" s="8" t="s">
        <v>84</v>
      </c>
      <c r="B40" s="14"/>
      <c r="C40" s="14"/>
      <c r="D40" s="14" t="n">
        <v>16</v>
      </c>
      <c r="E40" s="14" t="n">
        <v>19</v>
      </c>
      <c r="F40" s="14" t="n">
        <v>17</v>
      </c>
      <c r="G40" s="14" t="n">
        <v>18</v>
      </c>
      <c r="H40" s="14" t="n">
        <v>19</v>
      </c>
    </row>
    <row r="41" customFormat="false" ht="15" hidden="false" customHeight="false" outlineLevel="0" collapsed="false">
      <c r="A41" s="10" t="s">
        <v>54</v>
      </c>
      <c r="B41" s="17" t="n">
        <f aca="false">IF(COUNT(B35:B40)=0,"",AVERAGE(B35:B40))</f>
        <v>15</v>
      </c>
      <c r="C41" s="17" t="str">
        <f aca="false">IF(COUNT(C35:C40)=0,"",AVERAGE(C35:C40))</f>
        <v/>
      </c>
      <c r="D41" s="17" t="n">
        <f aca="false">IF(COUNT(D35:D40)=0,"",AVERAGE(D35:D40))</f>
        <v>18</v>
      </c>
      <c r="E41" s="17" t="n">
        <f aca="false">IF(COUNT(E35:E40)=0,"",AVERAGE(E35:E40))</f>
        <v>21</v>
      </c>
      <c r="F41" s="17" t="n">
        <f aca="false">IF(COUNT(F35:F40)=0,"",AVERAGE(F35:F40))</f>
        <v>20.1666666666667</v>
      </c>
      <c r="G41" s="17" t="n">
        <f aca="false">IF(COUNT(G35:G40)=0,"",AVERAGE(G35:G40))</f>
        <v>20.3333333333333</v>
      </c>
      <c r="H41" s="17" t="n">
        <f aca="false">IF(COUNT(H35:H40)=0,"",AVERAGE(H35:H40))</f>
        <v>20.6666666666667</v>
      </c>
    </row>
    <row r="43" customFormat="false" ht="15" hidden="false" customHeight="false" outlineLevel="0" collapsed="false">
      <c r="A43" s="13" t="s">
        <v>58</v>
      </c>
    </row>
    <row r="44" customFormat="false" ht="31.5" hidden="false" customHeight="true" outlineLevel="0" collapsed="false">
      <c r="A44" s="6" t="s">
        <v>32</v>
      </c>
      <c r="B44" s="6" t="s">
        <v>85</v>
      </c>
      <c r="C44" s="6" t="s">
        <v>86</v>
      </c>
      <c r="D44" s="6" t="s">
        <v>87</v>
      </c>
      <c r="E44" s="6" t="s">
        <v>88</v>
      </c>
      <c r="F44" s="6" t="s">
        <v>54</v>
      </c>
    </row>
    <row r="45" customFormat="false" ht="15" hidden="false" customHeight="false" outlineLevel="0" collapsed="false">
      <c r="A45" s="8" t="s">
        <v>79</v>
      </c>
      <c r="B45" s="14" t="n">
        <v>97</v>
      </c>
      <c r="C45" s="14" t="n">
        <v>100</v>
      </c>
      <c r="D45" s="14" t="n">
        <v>97</v>
      </c>
      <c r="E45" s="14" t="n">
        <v>100</v>
      </c>
      <c r="F45" s="18" t="n">
        <f aca="false">IF(COUNT(B45:E45)=0,"",AVERAGE(B45:E45))</f>
        <v>98.5</v>
      </c>
    </row>
    <row r="46" customFormat="false" ht="15" hidden="false" customHeight="false" outlineLevel="0" collapsed="false">
      <c r="A46" s="8" t="s">
        <v>80</v>
      </c>
      <c r="B46" s="14" t="n">
        <v>98</v>
      </c>
      <c r="C46" s="14" t="n">
        <v>89</v>
      </c>
      <c r="D46" s="14" t="n">
        <v>100</v>
      </c>
      <c r="E46" s="14" t="n">
        <v>94</v>
      </c>
      <c r="F46" s="18" t="n">
        <f aca="false">IF(COUNT(B46:E46)=0,"",AVERAGE(B46:E46))</f>
        <v>95.25</v>
      </c>
    </row>
    <row r="47" customFormat="false" ht="15" hidden="false" customHeight="false" outlineLevel="0" collapsed="false">
      <c r="A47" s="8" t="s">
        <v>81</v>
      </c>
      <c r="B47" s="14" t="n">
        <v>100</v>
      </c>
      <c r="C47" s="14" t="n">
        <v>100</v>
      </c>
      <c r="D47" s="14" t="n">
        <v>100</v>
      </c>
      <c r="E47" s="14" t="n">
        <v>99</v>
      </c>
      <c r="F47" s="18" t="n">
        <f aca="false">IF(COUNT(B47:E47)=0,"",AVERAGE(B47:E47))</f>
        <v>99.75</v>
      </c>
    </row>
    <row r="48" customFormat="false" ht="15" hidden="false" customHeight="false" outlineLevel="0" collapsed="false">
      <c r="A48" s="8" t="s">
        <v>82</v>
      </c>
      <c r="B48" s="14" t="n">
        <v>100</v>
      </c>
      <c r="C48" s="14" t="n">
        <v>95</v>
      </c>
      <c r="D48" s="14" t="n">
        <v>100</v>
      </c>
      <c r="E48" s="14" t="n">
        <v>95</v>
      </c>
      <c r="F48" s="18" t="n">
        <f aca="false">IF(COUNT(B48:E48)=0,"",AVERAGE(B48:E48))</f>
        <v>97.5</v>
      </c>
    </row>
    <row r="49" customFormat="false" ht="15" hidden="false" customHeight="false" outlineLevel="0" collapsed="false">
      <c r="A49" s="8" t="s">
        <v>83</v>
      </c>
      <c r="B49" s="14" t="n">
        <v>95</v>
      </c>
      <c r="C49" s="14" t="n">
        <v>88</v>
      </c>
      <c r="D49" s="14" t="n">
        <v>85</v>
      </c>
      <c r="E49" s="14" t="n">
        <v>92</v>
      </c>
      <c r="F49" s="18" t="n">
        <f aca="false">IF(COUNT(B49:E49)=0,"",AVERAGE(B49:E49))</f>
        <v>90</v>
      </c>
    </row>
    <row r="50" customFormat="false" ht="15" hidden="false" customHeight="false" outlineLevel="0" collapsed="false">
      <c r="A50" s="8" t="s">
        <v>84</v>
      </c>
      <c r="B50" s="14" t="n">
        <v>95</v>
      </c>
      <c r="C50" s="14" t="n">
        <v>90</v>
      </c>
      <c r="D50" s="14" t="n">
        <v>100</v>
      </c>
      <c r="E50" s="14" t="n">
        <v>100</v>
      </c>
      <c r="F50" s="18" t="n">
        <f aca="false">IF(COUNT(B50:E50)=0,"",AVERAGE(B50:E50))</f>
        <v>96.25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2026-10-28T04:58:25Z</dcterms:created>
  <dc:creator>openpyxl</dc:creator>
  <dc:description/>
  <dc:language>en-US</dc:language>
  <cp:lastModifiedBy/>
  <dcterms:modified xsi:type="dcterms:W3CDTF">2026-10-28T04:58:31Z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