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1_모의고사_빈출_어휘" sheetId="1" state="visible" r:id="rId1"/>
    <sheet xmlns:r="http://schemas.openxmlformats.org/officeDocument/2006/relationships" name="고2_모의고사_빈출_어휘" sheetId="2" state="visible" r:id="rId2"/>
    <sheet xmlns:r="http://schemas.openxmlformats.org/officeDocument/2006/relationships" name="고3_모의고사수능_빈출_어휘" sheetId="3" state="visible" r:id="rId3"/>
    <sheet xmlns:r="http://schemas.openxmlformats.org/officeDocument/2006/relationships" name="EBS_수능특강수능완성_빈출_어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.6" customWidth="1" min="2" max="2"/>
    <col width="5.9" customWidth="1" min="3" max="3"/>
    <col width="24.1" customWidth="1" min="4" max="4"/>
    <col width="33.2" customWidth="1" min="5" max="5"/>
  </cols>
  <sheetData>
    <row r="1">
      <c r="A1" s="1" t="inlineStr">
        <is>
          <t>☐</t>
        </is>
      </c>
      <c r="B1" s="1" t="inlineStr">
        <is>
          <t>단어</t>
        </is>
      </c>
      <c r="C1" s="1" t="inlineStr">
        <is>
          <t>품사</t>
        </is>
      </c>
      <c r="D1" s="1" t="inlineStr">
        <is>
          <t>뜻</t>
        </is>
      </c>
      <c r="E1" s="1" t="inlineStr">
        <is>
          <t>파생어·유의어</t>
        </is>
      </c>
    </row>
    <row r="2">
      <c r="A2" s="2" t="inlineStr">
        <is>
          <t>☐</t>
        </is>
      </c>
      <c r="B2" s="2" t="inlineStr">
        <is>
          <t>achieve</t>
        </is>
      </c>
      <c r="C2" s="2" t="inlineStr">
        <is>
          <t>v</t>
        </is>
      </c>
      <c r="D2" s="2" t="inlineStr">
        <is>
          <t>성취하다</t>
        </is>
      </c>
      <c r="E2" s="2" t="inlineStr">
        <is>
          <t>achievement</t>
        </is>
      </c>
    </row>
    <row r="3">
      <c r="A3" s="2" t="inlineStr">
        <is>
          <t>☐</t>
        </is>
      </c>
      <c r="B3" s="2" t="inlineStr">
        <is>
          <t>acquire</t>
        </is>
      </c>
      <c r="C3" s="2" t="inlineStr">
        <is>
          <t>v</t>
        </is>
      </c>
      <c r="D3" s="2" t="inlineStr">
        <is>
          <t>얻다, 습득하다</t>
        </is>
      </c>
      <c r="E3" s="2" t="inlineStr">
        <is>
          <t>acquisition</t>
        </is>
      </c>
    </row>
    <row r="4">
      <c r="A4" s="2" t="inlineStr">
        <is>
          <t>☐</t>
        </is>
      </c>
      <c r="B4" s="2" t="inlineStr">
        <is>
          <t>affect</t>
        </is>
      </c>
      <c r="C4" s="2" t="inlineStr">
        <is>
          <t>v</t>
        </is>
      </c>
      <c r="D4" s="2" t="inlineStr">
        <is>
          <t>영향을 미치다</t>
        </is>
      </c>
      <c r="E4" s="2">
        <f> influence / effect n.</f>
        <v/>
      </c>
    </row>
    <row r="5">
      <c r="A5" s="2" t="inlineStr">
        <is>
          <t>☐</t>
        </is>
      </c>
      <c r="B5" s="2" t="inlineStr">
        <is>
          <t>aim</t>
        </is>
      </c>
      <c r="C5" s="2" t="inlineStr">
        <is>
          <t>n/v</t>
        </is>
      </c>
      <c r="D5" s="2" t="inlineStr">
        <is>
          <t>목표; 목표로 하다</t>
        </is>
      </c>
      <c r="E5" s="2">
        <f> goal</f>
        <v/>
      </c>
    </row>
    <row r="6">
      <c r="A6" s="2" t="inlineStr">
        <is>
          <t>☐</t>
        </is>
      </c>
      <c r="B6" s="2" t="inlineStr">
        <is>
          <t>anxiety</t>
        </is>
      </c>
      <c r="C6" s="2" t="inlineStr">
        <is>
          <t>n</t>
        </is>
      </c>
      <c r="D6" s="2" t="inlineStr">
        <is>
          <t>불안</t>
        </is>
      </c>
      <c r="E6" s="2" t="inlineStr">
        <is>
          <t>anxious</t>
        </is>
      </c>
    </row>
    <row r="7">
      <c r="A7" s="2" t="inlineStr">
        <is>
          <t>☐</t>
        </is>
      </c>
      <c r="B7" s="2" t="inlineStr">
        <is>
          <t>appreciate</t>
        </is>
      </c>
      <c r="C7" s="2" t="inlineStr">
        <is>
          <t>v</t>
        </is>
      </c>
      <c r="D7" s="2" t="inlineStr">
        <is>
          <t>인정하다, 감사하다</t>
        </is>
      </c>
      <c r="E7" s="2" t="inlineStr">
        <is>
          <t>appreciation</t>
        </is>
      </c>
    </row>
    <row r="8">
      <c r="A8" s="2" t="inlineStr">
        <is>
          <t>☐</t>
        </is>
      </c>
      <c r="B8" s="2" t="inlineStr">
        <is>
          <t>appropriate</t>
        </is>
      </c>
      <c r="C8" s="2" t="inlineStr">
        <is>
          <t>a</t>
        </is>
      </c>
      <c r="D8" s="2" t="inlineStr">
        <is>
          <t>적절한</t>
        </is>
      </c>
      <c r="E8" s="2">
        <f> proper ≠ inappropriate</f>
        <v/>
      </c>
    </row>
    <row r="9">
      <c r="A9" s="2" t="inlineStr">
        <is>
          <t>☐</t>
        </is>
      </c>
      <c r="B9" s="2" t="inlineStr">
        <is>
          <t>aspect</t>
        </is>
      </c>
      <c r="C9" s="2" t="inlineStr">
        <is>
          <t>n</t>
        </is>
      </c>
      <c r="D9" s="2" t="inlineStr">
        <is>
          <t>측면</t>
        </is>
      </c>
      <c r="E9" s="2">
        <f> side, feature</f>
        <v/>
      </c>
    </row>
    <row r="10">
      <c r="A10" s="2" t="inlineStr">
        <is>
          <t>☐</t>
        </is>
      </c>
      <c r="B10" s="2" t="inlineStr">
        <is>
          <t>attempt</t>
        </is>
      </c>
      <c r="C10" s="2" t="inlineStr">
        <is>
          <t>n/v</t>
        </is>
      </c>
      <c r="D10" s="2" t="inlineStr">
        <is>
          <t>시도(하다)</t>
        </is>
      </c>
      <c r="E10" s="2">
        <f> try</f>
        <v/>
      </c>
    </row>
    <row r="11">
      <c r="A11" s="2" t="inlineStr">
        <is>
          <t>☐</t>
        </is>
      </c>
      <c r="B11" s="2" t="inlineStr">
        <is>
          <t>attitude</t>
        </is>
      </c>
      <c r="C11" s="2" t="inlineStr">
        <is>
          <t>n</t>
        </is>
      </c>
      <c r="D11" s="2" t="inlineStr">
        <is>
          <t>태도</t>
        </is>
      </c>
      <c r="E11" s="2" t="inlineStr"/>
    </row>
    <row r="12">
      <c r="A12" s="2" t="inlineStr">
        <is>
          <t>☐</t>
        </is>
      </c>
      <c r="B12" s="2" t="inlineStr">
        <is>
          <t>aware</t>
        </is>
      </c>
      <c r="C12" s="2" t="inlineStr">
        <is>
          <t>a</t>
        </is>
      </c>
      <c r="D12" s="2" t="inlineStr">
        <is>
          <t>알고 있는</t>
        </is>
      </c>
      <c r="E12" s="2" t="inlineStr">
        <is>
          <t>awareness</t>
        </is>
      </c>
    </row>
    <row r="13">
      <c r="A13" s="2" t="inlineStr">
        <is>
          <t>☐</t>
        </is>
      </c>
      <c r="B13" s="2" t="inlineStr">
        <is>
          <t>behavior</t>
        </is>
      </c>
      <c r="C13" s="2" t="inlineStr">
        <is>
          <t>n</t>
        </is>
      </c>
      <c r="D13" s="2" t="inlineStr">
        <is>
          <t>행동</t>
        </is>
      </c>
      <c r="E13" s="2" t="inlineStr">
        <is>
          <t>behave</t>
        </is>
      </c>
    </row>
    <row r="14">
      <c r="A14" s="2" t="inlineStr">
        <is>
          <t>☐</t>
        </is>
      </c>
      <c r="B14" s="2" t="inlineStr">
        <is>
          <t>benefit</t>
        </is>
      </c>
      <c r="C14" s="2" t="inlineStr">
        <is>
          <t>n/v</t>
        </is>
      </c>
      <c r="D14" s="2" t="inlineStr">
        <is>
          <t>이익; 이익을 주다</t>
        </is>
      </c>
      <c r="E14" s="2" t="inlineStr">
        <is>
          <t>beneficial</t>
        </is>
      </c>
    </row>
    <row r="15">
      <c r="A15" s="2" t="inlineStr">
        <is>
          <t>☐</t>
        </is>
      </c>
      <c r="B15" s="2" t="inlineStr">
        <is>
          <t>challenge</t>
        </is>
      </c>
      <c r="C15" s="2" t="inlineStr">
        <is>
          <t>n/v</t>
        </is>
      </c>
      <c r="D15" s="2" t="inlineStr">
        <is>
          <t>도전; 이의를 제기하다</t>
        </is>
      </c>
      <c r="E15" s="2" t="inlineStr">
        <is>
          <t>challenging</t>
        </is>
      </c>
    </row>
    <row r="16">
      <c r="A16" s="2" t="inlineStr">
        <is>
          <t>☐</t>
        </is>
      </c>
      <c r="B16" s="2" t="inlineStr">
        <is>
          <t>circumstance</t>
        </is>
      </c>
      <c r="C16" s="2" t="inlineStr">
        <is>
          <t>n</t>
        </is>
      </c>
      <c r="D16" s="2" t="inlineStr">
        <is>
          <t>상황, 환경</t>
        </is>
      </c>
      <c r="E16" s="2">
        <f> situation</f>
        <v/>
      </c>
    </row>
    <row r="17">
      <c r="A17" s="2" t="inlineStr">
        <is>
          <t>☐</t>
        </is>
      </c>
      <c r="B17" s="2" t="inlineStr">
        <is>
          <t>communicate</t>
        </is>
      </c>
      <c r="C17" s="2" t="inlineStr">
        <is>
          <t>v</t>
        </is>
      </c>
      <c r="D17" s="2" t="inlineStr">
        <is>
          <t>의사소통하다</t>
        </is>
      </c>
      <c r="E17" s="2" t="inlineStr">
        <is>
          <t>communication</t>
        </is>
      </c>
    </row>
    <row r="18">
      <c r="A18" s="2" t="inlineStr">
        <is>
          <t>☐</t>
        </is>
      </c>
      <c r="B18" s="2" t="inlineStr">
        <is>
          <t>community</t>
        </is>
      </c>
      <c r="C18" s="2" t="inlineStr">
        <is>
          <t>n</t>
        </is>
      </c>
      <c r="D18" s="2" t="inlineStr">
        <is>
          <t>공동체, 지역사회</t>
        </is>
      </c>
      <c r="E18" s="2" t="inlineStr"/>
    </row>
    <row r="19">
      <c r="A19" s="2" t="inlineStr">
        <is>
          <t>☐</t>
        </is>
      </c>
      <c r="B19" s="2" t="inlineStr">
        <is>
          <t>compare</t>
        </is>
      </c>
      <c r="C19" s="2" t="inlineStr">
        <is>
          <t>v</t>
        </is>
      </c>
      <c r="D19" s="2" t="inlineStr">
        <is>
          <t>비교하다</t>
        </is>
      </c>
      <c r="E19" s="2" t="inlineStr">
        <is>
          <t>comparison</t>
        </is>
      </c>
    </row>
    <row r="20">
      <c r="A20" s="2" t="inlineStr">
        <is>
          <t>☐</t>
        </is>
      </c>
      <c r="B20" s="2" t="inlineStr">
        <is>
          <t>complex</t>
        </is>
      </c>
      <c r="C20" s="2" t="inlineStr">
        <is>
          <t>a</t>
        </is>
      </c>
      <c r="D20" s="2" t="inlineStr">
        <is>
          <t>복잡한</t>
        </is>
      </c>
      <c r="E20" s="2" t="inlineStr">
        <is>
          <t>complexity</t>
        </is>
      </c>
    </row>
    <row r="21">
      <c r="A21" s="2" t="inlineStr">
        <is>
          <t>☐</t>
        </is>
      </c>
      <c r="B21" s="2" t="inlineStr">
        <is>
          <t>concentrate</t>
        </is>
      </c>
      <c r="C21" s="2" t="inlineStr">
        <is>
          <t>v</t>
        </is>
      </c>
      <c r="D21" s="2" t="inlineStr">
        <is>
          <t>집중하다</t>
        </is>
      </c>
      <c r="E21" s="2">
        <f> focus</f>
        <v/>
      </c>
    </row>
    <row r="22">
      <c r="A22" s="2" t="inlineStr">
        <is>
          <t>☐</t>
        </is>
      </c>
      <c r="B22" s="2" t="inlineStr">
        <is>
          <t>conflict</t>
        </is>
      </c>
      <c r="C22" s="2" t="inlineStr">
        <is>
          <t>n/v</t>
        </is>
      </c>
      <c r="D22" s="2" t="inlineStr">
        <is>
          <t>갈등; 충돌하다</t>
        </is>
      </c>
      <c r="E22" s="2" t="inlineStr"/>
    </row>
    <row r="23">
      <c r="A23" s="2" t="inlineStr">
        <is>
          <t>☐</t>
        </is>
      </c>
      <c r="B23" s="2" t="inlineStr">
        <is>
          <t>consume</t>
        </is>
      </c>
      <c r="C23" s="2" t="inlineStr">
        <is>
          <t>v</t>
        </is>
      </c>
      <c r="D23" s="2" t="inlineStr">
        <is>
          <t>소비하다</t>
        </is>
      </c>
      <c r="E23" s="2" t="inlineStr">
        <is>
          <t>consumer, consumption</t>
        </is>
      </c>
    </row>
    <row r="24">
      <c r="A24" s="2" t="inlineStr">
        <is>
          <t>☐</t>
        </is>
      </c>
      <c r="B24" s="2" t="inlineStr">
        <is>
          <t>creative</t>
        </is>
      </c>
      <c r="C24" s="2" t="inlineStr">
        <is>
          <t>a</t>
        </is>
      </c>
      <c r="D24" s="2" t="inlineStr">
        <is>
          <t>창의적인</t>
        </is>
      </c>
      <c r="E24" s="2" t="inlineStr">
        <is>
          <t>creativity</t>
        </is>
      </c>
    </row>
    <row r="25">
      <c r="A25" s="2" t="inlineStr">
        <is>
          <t>☐</t>
        </is>
      </c>
      <c r="B25" s="2" t="inlineStr">
        <is>
          <t>decline</t>
        </is>
      </c>
      <c r="C25" s="2" t="inlineStr">
        <is>
          <t>n/v</t>
        </is>
      </c>
      <c r="D25" s="2" t="inlineStr">
        <is>
          <t>감소(하다); 거절하다</t>
        </is>
      </c>
      <c r="E25" s="2">
        <f> decrease</f>
        <v/>
      </c>
    </row>
    <row r="26">
      <c r="A26" s="2" t="inlineStr">
        <is>
          <t>☐</t>
        </is>
      </c>
      <c r="B26" s="2" t="inlineStr">
        <is>
          <t>demand</t>
        </is>
      </c>
      <c r="C26" s="2" t="inlineStr">
        <is>
          <t>n/v</t>
        </is>
      </c>
      <c r="D26" s="2" t="inlineStr">
        <is>
          <t>요구(하다), 수요</t>
        </is>
      </c>
      <c r="E26" s="2" t="inlineStr">
        <is>
          <t>≠ supply</t>
        </is>
      </c>
    </row>
    <row r="27">
      <c r="A27" s="2" t="inlineStr">
        <is>
          <t>☐</t>
        </is>
      </c>
      <c r="B27" s="2" t="inlineStr">
        <is>
          <t>depend on</t>
        </is>
      </c>
      <c r="C27" s="2" t="inlineStr">
        <is>
          <t>v</t>
        </is>
      </c>
      <c r="D27" s="2" t="inlineStr">
        <is>
          <t>~에 의존하다, ~에 달려 있다</t>
        </is>
      </c>
      <c r="E27" s="2" t="inlineStr">
        <is>
          <t>dependent</t>
        </is>
      </c>
    </row>
    <row r="28">
      <c r="A28" s="2" t="inlineStr">
        <is>
          <t>☐</t>
        </is>
      </c>
      <c r="B28" s="2" t="inlineStr">
        <is>
          <t>determine</t>
        </is>
      </c>
      <c r="C28" s="2" t="inlineStr">
        <is>
          <t>v</t>
        </is>
      </c>
      <c r="D28" s="2" t="inlineStr">
        <is>
          <t>결정하다</t>
        </is>
      </c>
      <c r="E28" s="2" t="inlineStr">
        <is>
          <t>determination</t>
        </is>
      </c>
    </row>
    <row r="29">
      <c r="A29" s="2" t="inlineStr">
        <is>
          <t>☐</t>
        </is>
      </c>
      <c r="B29" s="2" t="inlineStr">
        <is>
          <t>diverse</t>
        </is>
      </c>
      <c r="C29" s="2" t="inlineStr">
        <is>
          <t>a</t>
        </is>
      </c>
      <c r="D29" s="2" t="inlineStr">
        <is>
          <t>다양한</t>
        </is>
      </c>
      <c r="E29" s="2" t="inlineStr">
        <is>
          <t>diversity</t>
        </is>
      </c>
    </row>
    <row r="30">
      <c r="A30" s="2" t="inlineStr">
        <is>
          <t>☐</t>
        </is>
      </c>
      <c r="B30" s="2" t="inlineStr">
        <is>
          <t>effective</t>
        </is>
      </c>
      <c r="C30" s="2" t="inlineStr">
        <is>
          <t>a</t>
        </is>
      </c>
      <c r="D30" s="2" t="inlineStr">
        <is>
          <t>효과적인</t>
        </is>
      </c>
      <c r="E30" s="2" t="inlineStr">
        <is>
          <t>effectiveness</t>
        </is>
      </c>
    </row>
    <row r="31">
      <c r="A31" s="2" t="inlineStr">
        <is>
          <t>☐</t>
        </is>
      </c>
      <c r="B31" s="2" t="inlineStr">
        <is>
          <t>efficient</t>
        </is>
      </c>
      <c r="C31" s="2" t="inlineStr">
        <is>
          <t>a</t>
        </is>
      </c>
      <c r="D31" s="2" t="inlineStr">
        <is>
          <t>효율적인</t>
        </is>
      </c>
      <c r="E31" s="2" t="inlineStr">
        <is>
          <t>efficiency</t>
        </is>
      </c>
    </row>
    <row r="32">
      <c r="A32" s="2" t="inlineStr">
        <is>
          <t>☐</t>
        </is>
      </c>
      <c r="B32" s="2" t="inlineStr">
        <is>
          <t>emotion</t>
        </is>
      </c>
      <c r="C32" s="2" t="inlineStr">
        <is>
          <t>n</t>
        </is>
      </c>
      <c r="D32" s="2" t="inlineStr">
        <is>
          <t>감정</t>
        </is>
      </c>
      <c r="E32" s="2" t="inlineStr">
        <is>
          <t>emotional</t>
        </is>
      </c>
    </row>
    <row r="33">
      <c r="A33" s="2" t="inlineStr">
        <is>
          <t>☐</t>
        </is>
      </c>
      <c r="B33" s="2" t="inlineStr">
        <is>
          <t>encourage</t>
        </is>
      </c>
      <c r="C33" s="2" t="inlineStr">
        <is>
          <t>v</t>
        </is>
      </c>
      <c r="D33" s="2" t="inlineStr">
        <is>
          <t>격려하다, 장려하다</t>
        </is>
      </c>
      <c r="E33" s="2" t="inlineStr">
        <is>
          <t>≠ discourage</t>
        </is>
      </c>
    </row>
    <row r="34">
      <c r="A34" s="2" t="inlineStr">
        <is>
          <t>☐</t>
        </is>
      </c>
      <c r="B34" s="2" t="inlineStr">
        <is>
          <t>environment</t>
        </is>
      </c>
      <c r="C34" s="2" t="inlineStr">
        <is>
          <t>n</t>
        </is>
      </c>
      <c r="D34" s="2" t="inlineStr">
        <is>
          <t>환경</t>
        </is>
      </c>
      <c r="E34" s="2" t="inlineStr">
        <is>
          <t>environmental</t>
        </is>
      </c>
    </row>
    <row r="35">
      <c r="A35" s="2" t="inlineStr">
        <is>
          <t>☐</t>
        </is>
      </c>
      <c r="B35" s="2" t="inlineStr">
        <is>
          <t>establish</t>
        </is>
      </c>
      <c r="C35" s="2" t="inlineStr">
        <is>
          <t>v</t>
        </is>
      </c>
      <c r="D35" s="2" t="inlineStr">
        <is>
          <t>설립하다, 확립하다</t>
        </is>
      </c>
      <c r="E35" s="2" t="inlineStr">
        <is>
          <t>establishment</t>
        </is>
      </c>
    </row>
    <row r="36">
      <c r="A36" s="2" t="inlineStr">
        <is>
          <t>☐</t>
        </is>
      </c>
      <c r="B36" s="2" t="inlineStr">
        <is>
          <t>evaluate</t>
        </is>
      </c>
      <c r="C36" s="2" t="inlineStr">
        <is>
          <t>v</t>
        </is>
      </c>
      <c r="D36" s="2" t="inlineStr">
        <is>
          <t>평가하다</t>
        </is>
      </c>
      <c r="E36" s="2">
        <f> assess</f>
        <v/>
      </c>
    </row>
    <row r="37">
      <c r="A37" s="2" t="inlineStr">
        <is>
          <t>☐</t>
        </is>
      </c>
      <c r="B37" s="2" t="inlineStr">
        <is>
          <t>evidence</t>
        </is>
      </c>
      <c r="C37" s="2" t="inlineStr">
        <is>
          <t>n</t>
        </is>
      </c>
      <c r="D37" s="2" t="inlineStr">
        <is>
          <t>증거</t>
        </is>
      </c>
      <c r="E37" s="2" t="inlineStr">
        <is>
          <t>evident</t>
        </is>
      </c>
    </row>
    <row r="38">
      <c r="A38" s="2" t="inlineStr">
        <is>
          <t>☐</t>
        </is>
      </c>
      <c r="B38" s="2" t="inlineStr">
        <is>
          <t>experiment</t>
        </is>
      </c>
      <c r="C38" s="2" t="inlineStr">
        <is>
          <t>n/v</t>
        </is>
      </c>
      <c r="D38" s="2" t="inlineStr">
        <is>
          <t>실험(하다)</t>
        </is>
      </c>
      <c r="E38" s="2" t="inlineStr"/>
    </row>
    <row r="39">
      <c r="A39" s="2" t="inlineStr">
        <is>
          <t>☐</t>
        </is>
      </c>
      <c r="B39" s="2" t="inlineStr">
        <is>
          <t>factor</t>
        </is>
      </c>
      <c r="C39" s="2" t="inlineStr">
        <is>
          <t>n</t>
        </is>
      </c>
      <c r="D39" s="2" t="inlineStr">
        <is>
          <t>요인</t>
        </is>
      </c>
      <c r="E39" s="2" t="inlineStr"/>
    </row>
    <row r="40">
      <c r="A40" s="2" t="inlineStr">
        <is>
          <t>☐</t>
        </is>
      </c>
      <c r="B40" s="2" t="inlineStr">
        <is>
          <t>function</t>
        </is>
      </c>
      <c r="C40" s="2" t="inlineStr">
        <is>
          <t>n/v</t>
        </is>
      </c>
      <c r="D40" s="2" t="inlineStr">
        <is>
          <t>기능(하다)</t>
        </is>
      </c>
      <c r="E40" s="2" t="inlineStr"/>
    </row>
    <row r="41">
      <c r="A41" s="2" t="inlineStr">
        <is>
          <t>☐</t>
        </is>
      </c>
      <c r="B41" s="2" t="inlineStr">
        <is>
          <t>generation</t>
        </is>
      </c>
      <c r="C41" s="2" t="inlineStr">
        <is>
          <t>n</t>
        </is>
      </c>
      <c r="D41" s="2" t="inlineStr">
        <is>
          <t>세대; 발생</t>
        </is>
      </c>
      <c r="E41" s="2" t="inlineStr">
        <is>
          <t>generate</t>
        </is>
      </c>
    </row>
    <row r="42">
      <c r="A42" s="2" t="inlineStr">
        <is>
          <t>☐</t>
        </is>
      </c>
      <c r="B42" s="2" t="inlineStr">
        <is>
          <t>habit</t>
        </is>
      </c>
      <c r="C42" s="2" t="inlineStr">
        <is>
          <t>n</t>
        </is>
      </c>
      <c r="D42" s="2" t="inlineStr">
        <is>
          <t>습관</t>
        </is>
      </c>
      <c r="E42" s="2" t="inlineStr">
        <is>
          <t>habitual</t>
        </is>
      </c>
    </row>
    <row r="43">
      <c r="A43" s="2" t="inlineStr">
        <is>
          <t>☐</t>
        </is>
      </c>
      <c r="B43" s="2" t="inlineStr">
        <is>
          <t>identify</t>
        </is>
      </c>
      <c r="C43" s="2" t="inlineStr">
        <is>
          <t>v</t>
        </is>
      </c>
      <c r="D43" s="2" t="inlineStr">
        <is>
          <t>확인하다, 동일시하다</t>
        </is>
      </c>
      <c r="E43" s="2" t="inlineStr">
        <is>
          <t>identity, identification</t>
        </is>
      </c>
    </row>
    <row r="44">
      <c r="A44" s="2" t="inlineStr">
        <is>
          <t>☐</t>
        </is>
      </c>
      <c r="B44" s="2" t="inlineStr">
        <is>
          <t>influence</t>
        </is>
      </c>
      <c r="C44" s="2" t="inlineStr">
        <is>
          <t>n/v</t>
        </is>
      </c>
      <c r="D44" s="2" t="inlineStr">
        <is>
          <t>영향(을 미치다)</t>
        </is>
      </c>
      <c r="E44" s="2" t="inlineStr">
        <is>
          <t>influential</t>
        </is>
      </c>
    </row>
    <row r="45">
      <c r="A45" s="2" t="inlineStr">
        <is>
          <t>☐</t>
        </is>
      </c>
      <c r="B45" s="2" t="inlineStr">
        <is>
          <t>involve</t>
        </is>
      </c>
      <c r="C45" s="2" t="inlineStr">
        <is>
          <t>v</t>
        </is>
      </c>
      <c r="D45" s="2" t="inlineStr">
        <is>
          <t>포함하다, 관련시키다</t>
        </is>
      </c>
      <c r="E45" s="2" t="inlineStr">
        <is>
          <t>involvement</t>
        </is>
      </c>
    </row>
    <row r="46">
      <c r="A46" s="2" t="inlineStr">
        <is>
          <t>☐</t>
        </is>
      </c>
      <c r="B46" s="2" t="inlineStr">
        <is>
          <t>issue</t>
        </is>
      </c>
      <c r="C46" s="2" t="inlineStr">
        <is>
          <t>n/v</t>
        </is>
      </c>
      <c r="D46" s="2" t="inlineStr">
        <is>
          <t>문제, 쟁점; 발표하다</t>
        </is>
      </c>
      <c r="E46" s="2" t="inlineStr"/>
    </row>
    <row r="47">
      <c r="A47" s="2" t="inlineStr">
        <is>
          <t>☐</t>
        </is>
      </c>
      <c r="B47" s="2" t="inlineStr">
        <is>
          <t>maintain</t>
        </is>
      </c>
      <c r="C47" s="2" t="inlineStr">
        <is>
          <t>v</t>
        </is>
      </c>
      <c r="D47" s="2" t="inlineStr">
        <is>
          <t>유지하다; 주장하다</t>
        </is>
      </c>
      <c r="E47" s="2" t="inlineStr">
        <is>
          <t>maintenance</t>
        </is>
      </c>
    </row>
    <row r="48">
      <c r="A48" s="2" t="inlineStr">
        <is>
          <t>☐</t>
        </is>
      </c>
      <c r="B48" s="2" t="inlineStr">
        <is>
          <t>material</t>
        </is>
      </c>
      <c r="C48" s="2" t="inlineStr">
        <is>
          <t>n</t>
        </is>
      </c>
      <c r="D48" s="2" t="inlineStr">
        <is>
          <t>재료, 자료</t>
        </is>
      </c>
      <c r="E48" s="2" t="inlineStr"/>
    </row>
    <row r="49">
      <c r="A49" s="2" t="inlineStr">
        <is>
          <t>☐</t>
        </is>
      </c>
      <c r="B49" s="2" t="inlineStr">
        <is>
          <t>method</t>
        </is>
      </c>
      <c r="C49" s="2" t="inlineStr">
        <is>
          <t>n</t>
        </is>
      </c>
      <c r="D49" s="2" t="inlineStr">
        <is>
          <t>방법</t>
        </is>
      </c>
      <c r="E49" s="2">
        <f> way</f>
        <v/>
      </c>
    </row>
    <row r="50">
      <c r="A50" s="2" t="inlineStr">
        <is>
          <t>☐</t>
        </is>
      </c>
      <c r="B50" s="2" t="inlineStr">
        <is>
          <t>motivate</t>
        </is>
      </c>
      <c r="C50" s="2" t="inlineStr">
        <is>
          <t>v</t>
        </is>
      </c>
      <c r="D50" s="2" t="inlineStr">
        <is>
          <t>동기를 부여하다</t>
        </is>
      </c>
      <c r="E50" s="2" t="inlineStr">
        <is>
          <t>motivation</t>
        </is>
      </c>
    </row>
    <row r="51">
      <c r="A51" s="2" t="inlineStr">
        <is>
          <t>☐</t>
        </is>
      </c>
      <c r="B51" s="2" t="inlineStr">
        <is>
          <t>necessary</t>
        </is>
      </c>
      <c r="C51" s="2" t="inlineStr">
        <is>
          <t>a</t>
        </is>
      </c>
      <c r="D51" s="2" t="inlineStr">
        <is>
          <t>필요한</t>
        </is>
      </c>
      <c r="E51" s="2" t="inlineStr">
        <is>
          <t>necessity</t>
        </is>
      </c>
    </row>
    <row r="52">
      <c r="A52" s="2" t="inlineStr">
        <is>
          <t>☐</t>
        </is>
      </c>
      <c r="B52" s="2" t="inlineStr">
        <is>
          <t>negative</t>
        </is>
      </c>
      <c r="C52" s="2" t="inlineStr">
        <is>
          <t>a</t>
        </is>
      </c>
      <c r="D52" s="2" t="inlineStr">
        <is>
          <t>부정적인</t>
        </is>
      </c>
      <c r="E52" s="2" t="inlineStr">
        <is>
          <t>≠ positive</t>
        </is>
      </c>
    </row>
    <row r="53">
      <c r="A53" s="2" t="inlineStr">
        <is>
          <t>☐</t>
        </is>
      </c>
      <c r="B53" s="2" t="inlineStr">
        <is>
          <t>obvious</t>
        </is>
      </c>
      <c r="C53" s="2" t="inlineStr">
        <is>
          <t>a</t>
        </is>
      </c>
      <c r="D53" s="2" t="inlineStr">
        <is>
          <t>명백한</t>
        </is>
      </c>
      <c r="E53" s="2">
        <f> clear</f>
        <v/>
      </c>
    </row>
    <row r="54">
      <c r="A54" s="2" t="inlineStr">
        <is>
          <t>☐</t>
        </is>
      </c>
      <c r="B54" s="2" t="inlineStr">
        <is>
          <t>occur</t>
        </is>
      </c>
      <c r="C54" s="2" t="inlineStr">
        <is>
          <t>v</t>
        </is>
      </c>
      <c r="D54" s="2" t="inlineStr">
        <is>
          <t>발생하다; (생각이) 떠오르다</t>
        </is>
      </c>
      <c r="E54" s="2" t="inlineStr">
        <is>
          <t>occurrence</t>
        </is>
      </c>
    </row>
    <row r="55">
      <c r="A55" s="2" t="inlineStr">
        <is>
          <t>☐</t>
        </is>
      </c>
      <c r="B55" s="2" t="inlineStr">
        <is>
          <t>opportunity</t>
        </is>
      </c>
      <c r="C55" s="2" t="inlineStr">
        <is>
          <t>n</t>
        </is>
      </c>
      <c r="D55" s="2" t="inlineStr">
        <is>
          <t>기회</t>
        </is>
      </c>
      <c r="E55" s="2">
        <f> chance</f>
        <v/>
      </c>
    </row>
    <row r="56">
      <c r="A56" s="2" t="inlineStr">
        <is>
          <t>☐</t>
        </is>
      </c>
      <c r="B56" s="2" t="inlineStr">
        <is>
          <t>participate</t>
        </is>
      </c>
      <c r="C56" s="2" t="inlineStr">
        <is>
          <t>v</t>
        </is>
      </c>
      <c r="D56" s="2" t="inlineStr">
        <is>
          <t>참여하다</t>
        </is>
      </c>
      <c r="E56" s="2" t="inlineStr">
        <is>
          <t>participant</t>
        </is>
      </c>
    </row>
    <row r="57">
      <c r="A57" s="2" t="inlineStr">
        <is>
          <t>☐</t>
        </is>
      </c>
      <c r="B57" s="2" t="inlineStr">
        <is>
          <t>particular</t>
        </is>
      </c>
      <c r="C57" s="2" t="inlineStr">
        <is>
          <t>a</t>
        </is>
      </c>
      <c r="D57" s="2" t="inlineStr">
        <is>
          <t>특정한</t>
        </is>
      </c>
      <c r="E57" s="2" t="inlineStr">
        <is>
          <t>particularly</t>
        </is>
      </c>
    </row>
    <row r="58">
      <c r="A58" s="2" t="inlineStr">
        <is>
          <t>☐</t>
        </is>
      </c>
      <c r="B58" s="2" t="inlineStr">
        <is>
          <t>potential</t>
        </is>
      </c>
      <c r="C58" s="2" t="inlineStr">
        <is>
          <t>n/a</t>
        </is>
      </c>
      <c r="D58" s="2" t="inlineStr">
        <is>
          <t>잠재력; 잠재적인</t>
        </is>
      </c>
      <c r="E58" s="2" t="inlineStr"/>
    </row>
    <row r="59">
      <c r="A59" s="2" t="inlineStr">
        <is>
          <t>☐</t>
        </is>
      </c>
      <c r="B59" s="2" t="inlineStr">
        <is>
          <t>prefer</t>
        </is>
      </c>
      <c r="C59" s="2" t="inlineStr">
        <is>
          <t>v</t>
        </is>
      </c>
      <c r="D59" s="2" t="inlineStr">
        <is>
          <t>선호하다</t>
        </is>
      </c>
      <c r="E59" s="2" t="inlineStr">
        <is>
          <t>preference</t>
        </is>
      </c>
    </row>
    <row r="60">
      <c r="A60" s="2" t="inlineStr">
        <is>
          <t>☐</t>
        </is>
      </c>
      <c r="B60" s="2" t="inlineStr">
        <is>
          <t>process</t>
        </is>
      </c>
      <c r="C60" s="2" t="inlineStr">
        <is>
          <t>n/v</t>
        </is>
      </c>
      <c r="D60" s="2" t="inlineStr">
        <is>
          <t>과정; 처리하다</t>
        </is>
      </c>
      <c r="E60" s="2" t="inlineStr"/>
    </row>
    <row r="61">
      <c r="A61" s="2" t="inlineStr">
        <is>
          <t>☐</t>
        </is>
      </c>
      <c r="B61" s="2" t="inlineStr">
        <is>
          <t>produce</t>
        </is>
      </c>
      <c r="C61" s="2" t="inlineStr">
        <is>
          <t>v</t>
        </is>
      </c>
      <c r="D61" s="2" t="inlineStr">
        <is>
          <t>생산하다</t>
        </is>
      </c>
      <c r="E61" s="2" t="inlineStr">
        <is>
          <t>product, production</t>
        </is>
      </c>
    </row>
    <row r="62">
      <c r="A62" s="2" t="inlineStr">
        <is>
          <t>☐</t>
        </is>
      </c>
      <c r="B62" s="2" t="inlineStr">
        <is>
          <t>provide</t>
        </is>
      </c>
      <c r="C62" s="2" t="inlineStr">
        <is>
          <t>v</t>
        </is>
      </c>
      <c r="D62" s="2" t="inlineStr">
        <is>
          <t>제공하다</t>
        </is>
      </c>
      <c r="E62" s="2" t="inlineStr">
        <is>
          <t>provision</t>
        </is>
      </c>
    </row>
    <row r="63">
      <c r="A63" s="2" t="inlineStr">
        <is>
          <t>☐</t>
        </is>
      </c>
      <c r="B63" s="2" t="inlineStr">
        <is>
          <t>purpose</t>
        </is>
      </c>
      <c r="C63" s="2" t="inlineStr">
        <is>
          <t>n</t>
        </is>
      </c>
      <c r="D63" s="2" t="inlineStr">
        <is>
          <t>목적</t>
        </is>
      </c>
      <c r="E63" s="2" t="inlineStr"/>
    </row>
    <row r="64">
      <c r="A64" s="2" t="inlineStr">
        <is>
          <t>☐</t>
        </is>
      </c>
      <c r="B64" s="2" t="inlineStr">
        <is>
          <t>quality</t>
        </is>
      </c>
      <c r="C64" s="2" t="inlineStr">
        <is>
          <t>n</t>
        </is>
      </c>
      <c r="D64" s="2" t="inlineStr">
        <is>
          <t>질, 특성</t>
        </is>
      </c>
      <c r="E64" s="2" t="inlineStr"/>
    </row>
    <row r="65">
      <c r="A65" s="2" t="inlineStr">
        <is>
          <t>☐</t>
        </is>
      </c>
      <c r="B65" s="2" t="inlineStr">
        <is>
          <t>recognize</t>
        </is>
      </c>
      <c r="C65" s="2" t="inlineStr">
        <is>
          <t>v</t>
        </is>
      </c>
      <c r="D65" s="2" t="inlineStr">
        <is>
          <t>인식하다, 알아보다</t>
        </is>
      </c>
      <c r="E65" s="2" t="inlineStr">
        <is>
          <t>recognition</t>
        </is>
      </c>
    </row>
    <row r="66">
      <c r="A66" s="2" t="inlineStr">
        <is>
          <t>☐</t>
        </is>
      </c>
      <c r="B66" s="2" t="inlineStr">
        <is>
          <t>reduce</t>
        </is>
      </c>
      <c r="C66" s="2" t="inlineStr">
        <is>
          <t>v</t>
        </is>
      </c>
      <c r="D66" s="2" t="inlineStr">
        <is>
          <t>줄이다</t>
        </is>
      </c>
      <c r="E66" s="2" t="inlineStr">
        <is>
          <t>reduction</t>
        </is>
      </c>
    </row>
    <row r="67">
      <c r="A67" s="2" t="inlineStr">
        <is>
          <t>☐</t>
        </is>
      </c>
      <c r="B67" s="2" t="inlineStr">
        <is>
          <t>reflect</t>
        </is>
      </c>
      <c r="C67" s="2" t="inlineStr">
        <is>
          <t>v</t>
        </is>
      </c>
      <c r="D67" s="2" t="inlineStr">
        <is>
          <t>반영하다, 반사하다; 숙고하다</t>
        </is>
      </c>
      <c r="E67" s="2" t="inlineStr">
        <is>
          <t>reflection</t>
        </is>
      </c>
    </row>
    <row r="68">
      <c r="A68" s="2" t="inlineStr">
        <is>
          <t>☐</t>
        </is>
      </c>
      <c r="B68" s="2" t="inlineStr">
        <is>
          <t>relationship</t>
        </is>
      </c>
      <c r="C68" s="2" t="inlineStr">
        <is>
          <t>n</t>
        </is>
      </c>
      <c r="D68" s="2" t="inlineStr">
        <is>
          <t>관계</t>
        </is>
      </c>
      <c r="E68" s="2" t="inlineStr">
        <is>
          <t>relate</t>
        </is>
      </c>
    </row>
    <row r="69">
      <c r="A69" s="2" t="inlineStr">
        <is>
          <t>☐</t>
        </is>
      </c>
      <c r="B69" s="2" t="inlineStr">
        <is>
          <t>require</t>
        </is>
      </c>
      <c r="C69" s="2" t="inlineStr">
        <is>
          <t>v</t>
        </is>
      </c>
      <c r="D69" s="2" t="inlineStr">
        <is>
          <t>필요로 하다, 요구하다</t>
        </is>
      </c>
      <c r="E69" s="2" t="inlineStr">
        <is>
          <t>requirement</t>
        </is>
      </c>
    </row>
    <row r="70">
      <c r="A70" s="2" t="inlineStr">
        <is>
          <t>☐</t>
        </is>
      </c>
      <c r="B70" s="2" t="inlineStr">
        <is>
          <t>resource</t>
        </is>
      </c>
      <c r="C70" s="2" t="inlineStr">
        <is>
          <t>n</t>
        </is>
      </c>
      <c r="D70" s="2" t="inlineStr">
        <is>
          <t>자원</t>
        </is>
      </c>
      <c r="E70" s="2" t="inlineStr"/>
    </row>
    <row r="71">
      <c r="A71" s="2" t="inlineStr">
        <is>
          <t>☐</t>
        </is>
      </c>
      <c r="B71" s="2" t="inlineStr">
        <is>
          <t>respond</t>
        </is>
      </c>
      <c r="C71" s="2" t="inlineStr">
        <is>
          <t>v</t>
        </is>
      </c>
      <c r="D71" s="2" t="inlineStr">
        <is>
          <t>반응하다, 대답하다</t>
        </is>
      </c>
      <c r="E71" s="2" t="inlineStr">
        <is>
          <t>response</t>
        </is>
      </c>
    </row>
    <row r="72">
      <c r="A72" s="2" t="inlineStr">
        <is>
          <t>☐</t>
        </is>
      </c>
      <c r="B72" s="2" t="inlineStr">
        <is>
          <t>responsible</t>
        </is>
      </c>
      <c r="C72" s="2" t="inlineStr">
        <is>
          <t>a</t>
        </is>
      </c>
      <c r="D72" s="2" t="inlineStr">
        <is>
          <t>책임 있는</t>
        </is>
      </c>
      <c r="E72" s="2" t="inlineStr">
        <is>
          <t>responsibility</t>
        </is>
      </c>
    </row>
    <row r="73">
      <c r="A73" s="2" t="inlineStr">
        <is>
          <t>☐</t>
        </is>
      </c>
      <c r="B73" s="2" t="inlineStr">
        <is>
          <t>reveal</t>
        </is>
      </c>
      <c r="C73" s="2" t="inlineStr">
        <is>
          <t>v</t>
        </is>
      </c>
      <c r="D73" s="2" t="inlineStr">
        <is>
          <t>드러내다</t>
        </is>
      </c>
      <c r="E73" s="2">
        <f> disclose ≠ conceal</f>
        <v/>
      </c>
    </row>
    <row r="74">
      <c r="A74" s="2" t="inlineStr">
        <is>
          <t>☐</t>
        </is>
      </c>
      <c r="B74" s="2" t="inlineStr">
        <is>
          <t>solution</t>
        </is>
      </c>
      <c r="C74" s="2" t="inlineStr">
        <is>
          <t>n</t>
        </is>
      </c>
      <c r="D74" s="2" t="inlineStr">
        <is>
          <t>해결책</t>
        </is>
      </c>
      <c r="E74" s="2" t="inlineStr">
        <is>
          <t>solve</t>
        </is>
      </c>
    </row>
    <row r="75">
      <c r="A75" s="2" t="inlineStr">
        <is>
          <t>☐</t>
        </is>
      </c>
      <c r="B75" s="2" t="inlineStr">
        <is>
          <t>strategy</t>
        </is>
      </c>
      <c r="C75" s="2" t="inlineStr">
        <is>
          <t>n</t>
        </is>
      </c>
      <c r="D75" s="2" t="inlineStr">
        <is>
          <t>전략</t>
        </is>
      </c>
      <c r="E75" s="2" t="inlineStr">
        <is>
          <t>strategic</t>
        </is>
      </c>
    </row>
    <row r="76">
      <c r="A76" s="2" t="inlineStr">
        <is>
          <t>☐</t>
        </is>
      </c>
      <c r="B76" s="2" t="inlineStr">
        <is>
          <t>stress</t>
        </is>
      </c>
      <c r="C76" s="2" t="inlineStr">
        <is>
          <t>n/v</t>
        </is>
      </c>
      <c r="D76" s="2" t="inlineStr">
        <is>
          <t>스트레스; 강조하다</t>
        </is>
      </c>
      <c r="E76" s="2">
        <f> emphasize</f>
        <v/>
      </c>
    </row>
    <row r="77">
      <c r="A77" s="2" t="inlineStr">
        <is>
          <t>☐</t>
        </is>
      </c>
      <c r="B77" s="2" t="inlineStr">
        <is>
          <t>sufficient</t>
        </is>
      </c>
      <c r="C77" s="2" t="inlineStr">
        <is>
          <t>a</t>
        </is>
      </c>
      <c r="D77" s="2" t="inlineStr">
        <is>
          <t>충분한</t>
        </is>
      </c>
      <c r="E77" s="2">
        <f> enough ≠ insufficient</f>
        <v/>
      </c>
    </row>
    <row r="78">
      <c r="A78" s="2" t="inlineStr">
        <is>
          <t>☐</t>
        </is>
      </c>
      <c r="B78" s="2" t="inlineStr">
        <is>
          <t>survive</t>
        </is>
      </c>
      <c r="C78" s="2" t="inlineStr">
        <is>
          <t>v</t>
        </is>
      </c>
      <c r="D78" s="2" t="inlineStr">
        <is>
          <t>살아남다</t>
        </is>
      </c>
      <c r="E78" s="2" t="inlineStr">
        <is>
          <t>survival</t>
        </is>
      </c>
    </row>
    <row r="79">
      <c r="A79" s="2" t="inlineStr">
        <is>
          <t>☐</t>
        </is>
      </c>
      <c r="B79" s="2" t="inlineStr">
        <is>
          <t>tend to</t>
        </is>
      </c>
      <c r="C79" s="2" t="inlineStr">
        <is>
          <t>v</t>
        </is>
      </c>
      <c r="D79" s="2" t="inlineStr">
        <is>
          <t>~하는 경향이 있다</t>
        </is>
      </c>
      <c r="E79" s="2" t="inlineStr">
        <is>
          <t>tendency</t>
        </is>
      </c>
    </row>
    <row r="80">
      <c r="A80" s="2" t="inlineStr">
        <is>
          <t>☐</t>
        </is>
      </c>
      <c r="B80" s="2" t="inlineStr">
        <is>
          <t>tradition</t>
        </is>
      </c>
      <c r="C80" s="2" t="inlineStr">
        <is>
          <t>n</t>
        </is>
      </c>
      <c r="D80" s="2" t="inlineStr">
        <is>
          <t>전통</t>
        </is>
      </c>
      <c r="E80" s="2" t="inlineStr">
        <is>
          <t>traditional</t>
        </is>
      </c>
    </row>
    <row r="81">
      <c r="A81" s="2" t="inlineStr">
        <is>
          <t>☐</t>
        </is>
      </c>
      <c r="B81" s="2" t="inlineStr">
        <is>
          <t>value</t>
        </is>
      </c>
      <c r="C81" s="2" t="inlineStr">
        <is>
          <t>n/v</t>
        </is>
      </c>
      <c r="D81" s="2" t="inlineStr">
        <is>
          <t>가치; 소중히 여기다</t>
        </is>
      </c>
      <c r="E81" s="2" t="inlineStr">
        <is>
          <t>valuable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.2" customWidth="1" min="2" max="2"/>
    <col width="5.9" customWidth="1" min="3" max="3"/>
    <col width="29.3" customWidth="1" min="4" max="4"/>
    <col width="37.1" customWidth="1" min="5" max="5"/>
  </cols>
  <sheetData>
    <row r="1">
      <c r="A1" s="1" t="inlineStr">
        <is>
          <t>☐</t>
        </is>
      </c>
      <c r="B1" s="1" t="inlineStr">
        <is>
          <t>단어</t>
        </is>
      </c>
      <c r="C1" s="1" t="inlineStr">
        <is>
          <t>품사</t>
        </is>
      </c>
      <c r="D1" s="1" t="inlineStr">
        <is>
          <t>뜻</t>
        </is>
      </c>
      <c r="E1" s="1" t="inlineStr">
        <is>
          <t>파생어·유의어</t>
        </is>
      </c>
    </row>
    <row r="2">
      <c r="A2" s="2" t="inlineStr">
        <is>
          <t>☐</t>
        </is>
      </c>
      <c r="B2" s="2" t="inlineStr">
        <is>
          <t>abstract</t>
        </is>
      </c>
      <c r="C2" s="2" t="inlineStr">
        <is>
          <t>a</t>
        </is>
      </c>
      <c r="D2" s="2" t="inlineStr">
        <is>
          <t>추상적인</t>
        </is>
      </c>
      <c r="E2" s="2" t="inlineStr">
        <is>
          <t>≠ concrete</t>
        </is>
      </c>
    </row>
    <row r="3">
      <c r="A3" s="2" t="inlineStr">
        <is>
          <t>☐</t>
        </is>
      </c>
      <c r="B3" s="2" t="inlineStr">
        <is>
          <t>accumulate</t>
        </is>
      </c>
      <c r="C3" s="2" t="inlineStr">
        <is>
          <t>v</t>
        </is>
      </c>
      <c r="D3" s="2" t="inlineStr">
        <is>
          <t>축적하다</t>
        </is>
      </c>
      <c r="E3" s="2" t="inlineStr">
        <is>
          <t>accumulation</t>
        </is>
      </c>
    </row>
    <row r="4">
      <c r="A4" s="2" t="inlineStr">
        <is>
          <t>☐</t>
        </is>
      </c>
      <c r="B4" s="2" t="inlineStr">
        <is>
          <t>accurate</t>
        </is>
      </c>
      <c r="C4" s="2" t="inlineStr">
        <is>
          <t>a</t>
        </is>
      </c>
      <c r="D4" s="2" t="inlineStr">
        <is>
          <t>정확한</t>
        </is>
      </c>
      <c r="E4" s="2" t="inlineStr">
        <is>
          <t>accuracy ≠ inaccurate</t>
        </is>
      </c>
    </row>
    <row r="5">
      <c r="A5" s="2" t="inlineStr">
        <is>
          <t>☐</t>
        </is>
      </c>
      <c r="B5" s="2" t="inlineStr">
        <is>
          <t>allocate</t>
        </is>
      </c>
      <c r="C5" s="2" t="inlineStr">
        <is>
          <t>v</t>
        </is>
      </c>
      <c r="D5" s="2" t="inlineStr">
        <is>
          <t>할당하다, 배분하다</t>
        </is>
      </c>
      <c r="E5" s="2" t="inlineStr">
        <is>
          <t>allocation</t>
        </is>
      </c>
    </row>
    <row r="6">
      <c r="A6" s="2" t="inlineStr">
        <is>
          <t>☐</t>
        </is>
      </c>
      <c r="B6" s="2" t="inlineStr">
        <is>
          <t>alter</t>
        </is>
      </c>
      <c r="C6" s="2" t="inlineStr">
        <is>
          <t>v</t>
        </is>
      </c>
      <c r="D6" s="2" t="inlineStr">
        <is>
          <t>바꾸다</t>
        </is>
      </c>
      <c r="E6" s="2">
        <f> change, modify</f>
        <v/>
      </c>
    </row>
    <row r="7">
      <c r="A7" s="2" t="inlineStr">
        <is>
          <t>☐</t>
        </is>
      </c>
      <c r="B7" s="2" t="inlineStr">
        <is>
          <t>alternative</t>
        </is>
      </c>
      <c r="C7" s="2" t="inlineStr">
        <is>
          <t>n/a</t>
        </is>
      </c>
      <c r="D7" s="2" t="inlineStr">
        <is>
          <t>대안; 대안의</t>
        </is>
      </c>
      <c r="E7" s="2" t="inlineStr"/>
    </row>
    <row r="8">
      <c r="A8" s="2" t="inlineStr">
        <is>
          <t>☐</t>
        </is>
      </c>
      <c r="B8" s="2" t="inlineStr">
        <is>
          <t>analyze</t>
        </is>
      </c>
      <c r="C8" s="2" t="inlineStr">
        <is>
          <t>v</t>
        </is>
      </c>
      <c r="D8" s="2" t="inlineStr">
        <is>
          <t>분석하다</t>
        </is>
      </c>
      <c r="E8" s="2" t="inlineStr">
        <is>
          <t>analysis</t>
        </is>
      </c>
    </row>
    <row r="9">
      <c r="A9" s="2" t="inlineStr">
        <is>
          <t>☐</t>
        </is>
      </c>
      <c r="B9" s="2" t="inlineStr">
        <is>
          <t>anticipate</t>
        </is>
      </c>
      <c r="C9" s="2" t="inlineStr">
        <is>
          <t>v</t>
        </is>
      </c>
      <c r="D9" s="2" t="inlineStr">
        <is>
          <t>예상하다</t>
        </is>
      </c>
      <c r="E9" s="2">
        <f> expect</f>
        <v/>
      </c>
    </row>
    <row r="10">
      <c r="A10" s="2" t="inlineStr">
        <is>
          <t>☐</t>
        </is>
      </c>
      <c r="B10" s="2" t="inlineStr">
        <is>
          <t>apparent</t>
        </is>
      </c>
      <c r="C10" s="2" t="inlineStr">
        <is>
          <t>a</t>
        </is>
      </c>
      <c r="D10" s="2" t="inlineStr">
        <is>
          <t>명백한; 외견상의</t>
        </is>
      </c>
      <c r="E10" s="2" t="inlineStr">
        <is>
          <t>apparently</t>
        </is>
      </c>
    </row>
    <row r="11">
      <c r="A11" s="2" t="inlineStr">
        <is>
          <t>☐</t>
        </is>
      </c>
      <c r="B11" s="2" t="inlineStr">
        <is>
          <t>arbitrary</t>
        </is>
      </c>
      <c r="C11" s="2" t="inlineStr">
        <is>
          <t>a</t>
        </is>
      </c>
      <c r="D11" s="2" t="inlineStr">
        <is>
          <t>제멋대로의, 임의적인</t>
        </is>
      </c>
      <c r="E11" s="2">
        <f> random</f>
        <v/>
      </c>
    </row>
    <row r="12">
      <c r="A12" s="2" t="inlineStr">
        <is>
          <t>☐</t>
        </is>
      </c>
      <c r="B12" s="2" t="inlineStr">
        <is>
          <t>bias</t>
        </is>
      </c>
      <c r="C12" s="2" t="inlineStr">
        <is>
          <t>n</t>
        </is>
      </c>
      <c r="D12" s="2" t="inlineStr">
        <is>
          <t>편견</t>
        </is>
      </c>
      <c r="E12" s="2" t="inlineStr">
        <is>
          <t>biased</t>
        </is>
      </c>
    </row>
    <row r="13">
      <c r="A13" s="2" t="inlineStr">
        <is>
          <t>☐</t>
        </is>
      </c>
      <c r="B13" s="2" t="inlineStr">
        <is>
          <t>capacity</t>
        </is>
      </c>
      <c r="C13" s="2" t="inlineStr">
        <is>
          <t>n</t>
        </is>
      </c>
      <c r="D13" s="2" t="inlineStr">
        <is>
          <t>수용력, 능력</t>
        </is>
      </c>
      <c r="E13" s="2" t="inlineStr"/>
    </row>
    <row r="14">
      <c r="A14" s="2" t="inlineStr">
        <is>
          <t>☐</t>
        </is>
      </c>
      <c r="B14" s="2" t="inlineStr">
        <is>
          <t>cognitive</t>
        </is>
      </c>
      <c r="C14" s="2" t="inlineStr">
        <is>
          <t>a</t>
        </is>
      </c>
      <c r="D14" s="2" t="inlineStr">
        <is>
          <t>인지의</t>
        </is>
      </c>
      <c r="E14" s="2" t="inlineStr">
        <is>
          <t>cognition</t>
        </is>
      </c>
    </row>
    <row r="15">
      <c r="A15" s="2" t="inlineStr">
        <is>
          <t>☐</t>
        </is>
      </c>
      <c r="B15" s="2" t="inlineStr">
        <is>
          <t>collaborate</t>
        </is>
      </c>
      <c r="C15" s="2" t="inlineStr">
        <is>
          <t>v</t>
        </is>
      </c>
      <c r="D15" s="2" t="inlineStr">
        <is>
          <t>협력하다</t>
        </is>
      </c>
      <c r="E15" s="2" t="inlineStr">
        <is>
          <t>collaboration</t>
        </is>
      </c>
    </row>
    <row r="16">
      <c r="A16" s="2" t="inlineStr">
        <is>
          <t>☐</t>
        </is>
      </c>
      <c r="B16" s="2" t="inlineStr">
        <is>
          <t>compensate</t>
        </is>
      </c>
      <c r="C16" s="2" t="inlineStr">
        <is>
          <t>v</t>
        </is>
      </c>
      <c r="D16" s="2" t="inlineStr">
        <is>
          <t>보상하다</t>
        </is>
      </c>
      <c r="E16" s="2" t="inlineStr">
        <is>
          <t>compensation</t>
        </is>
      </c>
    </row>
    <row r="17">
      <c r="A17" s="2" t="inlineStr">
        <is>
          <t>☐</t>
        </is>
      </c>
      <c r="B17" s="2" t="inlineStr">
        <is>
          <t>component</t>
        </is>
      </c>
      <c r="C17" s="2" t="inlineStr">
        <is>
          <t>n</t>
        </is>
      </c>
      <c r="D17" s="2" t="inlineStr">
        <is>
          <t>구성요소</t>
        </is>
      </c>
      <c r="E17" s="2">
        <f> element</f>
        <v/>
      </c>
    </row>
    <row r="18">
      <c r="A18" s="2" t="inlineStr">
        <is>
          <t>☐</t>
        </is>
      </c>
      <c r="B18" s="2" t="inlineStr">
        <is>
          <t>comprehend</t>
        </is>
      </c>
      <c r="C18" s="2" t="inlineStr">
        <is>
          <t>v</t>
        </is>
      </c>
      <c r="D18" s="2" t="inlineStr">
        <is>
          <t>이해하다</t>
        </is>
      </c>
      <c r="E18" s="2" t="inlineStr">
        <is>
          <t>comprehension</t>
        </is>
      </c>
    </row>
    <row r="19">
      <c r="A19" s="2" t="inlineStr">
        <is>
          <t>☐</t>
        </is>
      </c>
      <c r="B19" s="2" t="inlineStr">
        <is>
          <t>conscious</t>
        </is>
      </c>
      <c r="C19" s="2" t="inlineStr">
        <is>
          <t>a</t>
        </is>
      </c>
      <c r="D19" s="2" t="inlineStr">
        <is>
          <t>의식하는</t>
        </is>
      </c>
      <c r="E19" s="2" t="inlineStr">
        <is>
          <t>consciousness ≠ unconscious</t>
        </is>
      </c>
    </row>
    <row r="20">
      <c r="A20" s="2" t="inlineStr">
        <is>
          <t>☐</t>
        </is>
      </c>
      <c r="B20" s="2" t="inlineStr">
        <is>
          <t>consensus</t>
        </is>
      </c>
      <c r="C20" s="2" t="inlineStr">
        <is>
          <t>n</t>
        </is>
      </c>
      <c r="D20" s="2" t="inlineStr">
        <is>
          <t>합의</t>
        </is>
      </c>
      <c r="E20" s="2">
        <f> agreement</f>
        <v/>
      </c>
    </row>
    <row r="21">
      <c r="A21" s="2" t="inlineStr">
        <is>
          <t>☐</t>
        </is>
      </c>
      <c r="B21" s="2" t="inlineStr">
        <is>
          <t>context</t>
        </is>
      </c>
      <c r="C21" s="2" t="inlineStr">
        <is>
          <t>n</t>
        </is>
      </c>
      <c r="D21" s="2" t="inlineStr">
        <is>
          <t>맥락</t>
        </is>
      </c>
      <c r="E21" s="2" t="inlineStr">
        <is>
          <t>contextual</t>
        </is>
      </c>
    </row>
    <row r="22">
      <c r="A22" s="2" t="inlineStr">
        <is>
          <t>☐</t>
        </is>
      </c>
      <c r="B22" s="2" t="inlineStr">
        <is>
          <t>conventional</t>
        </is>
      </c>
      <c r="C22" s="2" t="inlineStr">
        <is>
          <t>a</t>
        </is>
      </c>
      <c r="D22" s="2" t="inlineStr">
        <is>
          <t>관습적인, 기존의</t>
        </is>
      </c>
      <c r="E22" s="2" t="inlineStr">
        <is>
          <t>convention</t>
        </is>
      </c>
    </row>
    <row r="23">
      <c r="A23" s="2" t="inlineStr">
        <is>
          <t>☐</t>
        </is>
      </c>
      <c r="B23" s="2" t="inlineStr">
        <is>
          <t>crucial</t>
        </is>
      </c>
      <c r="C23" s="2" t="inlineStr">
        <is>
          <t>a</t>
        </is>
      </c>
      <c r="D23" s="2" t="inlineStr">
        <is>
          <t>중대한</t>
        </is>
      </c>
      <c r="E23" s="2">
        <f> vital</f>
        <v/>
      </c>
    </row>
    <row r="24">
      <c r="A24" s="2" t="inlineStr">
        <is>
          <t>☐</t>
        </is>
      </c>
      <c r="B24" s="2" t="inlineStr">
        <is>
          <t>cultivate</t>
        </is>
      </c>
      <c r="C24" s="2" t="inlineStr">
        <is>
          <t>v</t>
        </is>
      </c>
      <c r="D24" s="2" t="inlineStr">
        <is>
          <t>경작하다, 기르다</t>
        </is>
      </c>
      <c r="E24" s="2" t="inlineStr">
        <is>
          <t>cultivation</t>
        </is>
      </c>
    </row>
    <row r="25">
      <c r="A25" s="2" t="inlineStr">
        <is>
          <t>☐</t>
        </is>
      </c>
      <c r="B25" s="2" t="inlineStr">
        <is>
          <t>deliberate</t>
        </is>
      </c>
      <c r="C25" s="2" t="inlineStr">
        <is>
          <t>a</t>
        </is>
      </c>
      <c r="D25" s="2" t="inlineStr">
        <is>
          <t>의도적인, 신중한</t>
        </is>
      </c>
      <c r="E25" s="2" t="inlineStr">
        <is>
          <t>deliberately</t>
        </is>
      </c>
    </row>
    <row r="26">
      <c r="A26" s="2" t="inlineStr">
        <is>
          <t>☐</t>
        </is>
      </c>
      <c r="B26" s="2" t="inlineStr">
        <is>
          <t>derive</t>
        </is>
      </c>
      <c r="C26" s="2" t="inlineStr">
        <is>
          <t>v</t>
        </is>
      </c>
      <c r="D26" s="2" t="inlineStr">
        <is>
          <t>끌어내다, 유래하다 (from)</t>
        </is>
      </c>
      <c r="E26" s="2" t="inlineStr">
        <is>
          <t>derivation</t>
        </is>
      </c>
    </row>
    <row r="27">
      <c r="A27" s="2" t="inlineStr">
        <is>
          <t>☐</t>
        </is>
      </c>
      <c r="B27" s="2" t="inlineStr">
        <is>
          <t>dimension</t>
        </is>
      </c>
      <c r="C27" s="2" t="inlineStr">
        <is>
          <t>n</t>
        </is>
      </c>
      <c r="D27" s="2" t="inlineStr">
        <is>
          <t>차원, 측면</t>
        </is>
      </c>
      <c r="E27" s="2" t="inlineStr"/>
    </row>
    <row r="28">
      <c r="A28" s="2" t="inlineStr">
        <is>
          <t>☐</t>
        </is>
      </c>
      <c r="B28" s="2" t="inlineStr">
        <is>
          <t>distinguish</t>
        </is>
      </c>
      <c r="C28" s="2" t="inlineStr">
        <is>
          <t>v</t>
        </is>
      </c>
      <c r="D28" s="2" t="inlineStr">
        <is>
          <t>구별하다</t>
        </is>
      </c>
      <c r="E28" s="2">
        <f> discern</f>
        <v/>
      </c>
    </row>
    <row r="29">
      <c r="A29" s="2" t="inlineStr">
        <is>
          <t>☐</t>
        </is>
      </c>
      <c r="B29" s="2" t="inlineStr">
        <is>
          <t>dominant</t>
        </is>
      </c>
      <c r="C29" s="2" t="inlineStr">
        <is>
          <t>a</t>
        </is>
      </c>
      <c r="D29" s="2" t="inlineStr">
        <is>
          <t>지배적인, 우세한</t>
        </is>
      </c>
      <c r="E29" s="2" t="inlineStr">
        <is>
          <t>dominate</t>
        </is>
      </c>
    </row>
    <row r="30">
      <c r="A30" s="2" t="inlineStr">
        <is>
          <t>☐</t>
        </is>
      </c>
      <c r="B30" s="2" t="inlineStr">
        <is>
          <t>eliminate</t>
        </is>
      </c>
      <c r="C30" s="2" t="inlineStr">
        <is>
          <t>v</t>
        </is>
      </c>
      <c r="D30" s="2" t="inlineStr">
        <is>
          <t>제거하다</t>
        </is>
      </c>
      <c r="E30" s="2">
        <f> remove</f>
        <v/>
      </c>
    </row>
    <row r="31">
      <c r="A31" s="2" t="inlineStr">
        <is>
          <t>☐</t>
        </is>
      </c>
      <c r="B31" s="2" t="inlineStr">
        <is>
          <t>emerge</t>
        </is>
      </c>
      <c r="C31" s="2" t="inlineStr">
        <is>
          <t>v</t>
        </is>
      </c>
      <c r="D31" s="2" t="inlineStr">
        <is>
          <t>나타나다</t>
        </is>
      </c>
      <c r="E31" s="2" t="inlineStr">
        <is>
          <t>emergence</t>
        </is>
      </c>
    </row>
    <row r="32">
      <c r="A32" s="2" t="inlineStr">
        <is>
          <t>☐</t>
        </is>
      </c>
      <c r="B32" s="2" t="inlineStr">
        <is>
          <t>emphasize</t>
        </is>
      </c>
      <c r="C32" s="2" t="inlineStr">
        <is>
          <t>v</t>
        </is>
      </c>
      <c r="D32" s="2" t="inlineStr">
        <is>
          <t>강조하다</t>
        </is>
      </c>
      <c r="E32" s="2" t="inlineStr">
        <is>
          <t>emphasis</t>
        </is>
      </c>
    </row>
    <row r="33">
      <c r="A33" s="2" t="inlineStr">
        <is>
          <t>☐</t>
        </is>
      </c>
      <c r="B33" s="2" t="inlineStr">
        <is>
          <t>enhance</t>
        </is>
      </c>
      <c r="C33" s="2" t="inlineStr">
        <is>
          <t>v</t>
        </is>
      </c>
      <c r="D33" s="2" t="inlineStr">
        <is>
          <t>향상시키다</t>
        </is>
      </c>
      <c r="E33" s="2">
        <f> improve</f>
        <v/>
      </c>
    </row>
    <row r="34">
      <c r="A34" s="2" t="inlineStr">
        <is>
          <t>☐</t>
        </is>
      </c>
      <c r="B34" s="2" t="inlineStr">
        <is>
          <t>equivalent</t>
        </is>
      </c>
      <c r="C34" s="2" t="inlineStr">
        <is>
          <t>a/n</t>
        </is>
      </c>
      <c r="D34" s="2" t="inlineStr">
        <is>
          <t>동등한; 동등한 것</t>
        </is>
      </c>
      <c r="E34" s="2" t="inlineStr"/>
    </row>
    <row r="35">
      <c r="A35" s="2" t="inlineStr">
        <is>
          <t>☐</t>
        </is>
      </c>
      <c r="B35" s="2" t="inlineStr">
        <is>
          <t>evolve</t>
        </is>
      </c>
      <c r="C35" s="2" t="inlineStr">
        <is>
          <t>v</t>
        </is>
      </c>
      <c r="D35" s="2" t="inlineStr">
        <is>
          <t>진화하다</t>
        </is>
      </c>
      <c r="E35" s="2" t="inlineStr">
        <is>
          <t>evolution</t>
        </is>
      </c>
    </row>
    <row r="36">
      <c r="A36" s="2" t="inlineStr">
        <is>
          <t>☐</t>
        </is>
      </c>
      <c r="B36" s="2" t="inlineStr">
        <is>
          <t>expand</t>
        </is>
      </c>
      <c r="C36" s="2" t="inlineStr">
        <is>
          <t>v</t>
        </is>
      </c>
      <c r="D36" s="2" t="inlineStr">
        <is>
          <t>확장하다</t>
        </is>
      </c>
      <c r="E36" s="2" t="inlineStr">
        <is>
          <t>expansion</t>
        </is>
      </c>
    </row>
    <row r="37">
      <c r="A37" s="2" t="inlineStr">
        <is>
          <t>☐</t>
        </is>
      </c>
      <c r="B37" s="2" t="inlineStr">
        <is>
          <t>external</t>
        </is>
      </c>
      <c r="C37" s="2" t="inlineStr">
        <is>
          <t>a</t>
        </is>
      </c>
      <c r="D37" s="2" t="inlineStr">
        <is>
          <t>외부의</t>
        </is>
      </c>
      <c r="E37" s="2" t="inlineStr">
        <is>
          <t>≠ internal</t>
        </is>
      </c>
    </row>
    <row r="38">
      <c r="A38" s="2" t="inlineStr">
        <is>
          <t>☐</t>
        </is>
      </c>
      <c r="B38" s="2" t="inlineStr">
        <is>
          <t>facilitate</t>
        </is>
      </c>
      <c r="C38" s="2" t="inlineStr">
        <is>
          <t>v</t>
        </is>
      </c>
      <c r="D38" s="2" t="inlineStr">
        <is>
          <t>촉진하다, 용이하게 하다</t>
        </is>
      </c>
      <c r="E38" s="2" t="inlineStr"/>
    </row>
    <row r="39">
      <c r="A39" s="2" t="inlineStr">
        <is>
          <t>☐</t>
        </is>
      </c>
      <c r="B39" s="2" t="inlineStr">
        <is>
          <t>flexible</t>
        </is>
      </c>
      <c r="C39" s="2" t="inlineStr">
        <is>
          <t>a</t>
        </is>
      </c>
      <c r="D39" s="2" t="inlineStr">
        <is>
          <t>유연한</t>
        </is>
      </c>
      <c r="E39" s="2" t="inlineStr">
        <is>
          <t>≠ rigid</t>
        </is>
      </c>
    </row>
    <row r="40">
      <c r="A40" s="2" t="inlineStr">
        <is>
          <t>☐</t>
        </is>
      </c>
      <c r="B40" s="2" t="inlineStr">
        <is>
          <t>fragile</t>
        </is>
      </c>
      <c r="C40" s="2" t="inlineStr">
        <is>
          <t>a</t>
        </is>
      </c>
      <c r="D40" s="2" t="inlineStr">
        <is>
          <t>부서지기 쉬운</t>
        </is>
      </c>
      <c r="E40" s="2">
        <f> delicate</f>
        <v/>
      </c>
    </row>
    <row r="41">
      <c r="A41" s="2" t="inlineStr">
        <is>
          <t>☐</t>
        </is>
      </c>
      <c r="B41" s="2" t="inlineStr">
        <is>
          <t>generate</t>
        </is>
      </c>
      <c r="C41" s="2" t="inlineStr">
        <is>
          <t>v</t>
        </is>
      </c>
      <c r="D41" s="2" t="inlineStr">
        <is>
          <t>만들어 내다</t>
        </is>
      </c>
      <c r="E41" s="2">
        <f> produce</f>
        <v/>
      </c>
    </row>
    <row r="42">
      <c r="A42" s="2" t="inlineStr">
        <is>
          <t>☐</t>
        </is>
      </c>
      <c r="B42" s="2" t="inlineStr">
        <is>
          <t>hypothesis</t>
        </is>
      </c>
      <c r="C42" s="2" t="inlineStr">
        <is>
          <t>n</t>
        </is>
      </c>
      <c r="D42" s="2" t="inlineStr">
        <is>
          <t>가설</t>
        </is>
      </c>
      <c r="E42" s="2" t="inlineStr"/>
    </row>
    <row r="43">
      <c r="A43" s="2" t="inlineStr">
        <is>
          <t>☐</t>
        </is>
      </c>
      <c r="B43" s="2" t="inlineStr">
        <is>
          <t>ideal</t>
        </is>
      </c>
      <c r="C43" s="2" t="inlineStr">
        <is>
          <t>a/n</t>
        </is>
      </c>
      <c r="D43" s="2" t="inlineStr">
        <is>
          <t>이상적인; 이상</t>
        </is>
      </c>
      <c r="E43" s="2" t="inlineStr"/>
    </row>
    <row r="44">
      <c r="A44" s="2" t="inlineStr">
        <is>
          <t>☐</t>
        </is>
      </c>
      <c r="B44" s="2" t="inlineStr">
        <is>
          <t>immediate</t>
        </is>
      </c>
      <c r="C44" s="2" t="inlineStr">
        <is>
          <t>a</t>
        </is>
      </c>
      <c r="D44" s="2" t="inlineStr">
        <is>
          <t>즉각적인</t>
        </is>
      </c>
      <c r="E44" s="2" t="inlineStr">
        <is>
          <t>immediately</t>
        </is>
      </c>
    </row>
    <row r="45">
      <c r="A45" s="2" t="inlineStr">
        <is>
          <t>☐</t>
        </is>
      </c>
      <c r="B45" s="2" t="inlineStr">
        <is>
          <t>impose</t>
        </is>
      </c>
      <c r="C45" s="2" t="inlineStr">
        <is>
          <t>v</t>
        </is>
      </c>
      <c r="D45" s="2" t="inlineStr">
        <is>
          <t>부과하다, 강요하다</t>
        </is>
      </c>
      <c r="E45" s="2" t="inlineStr">
        <is>
          <t>imposition</t>
        </is>
      </c>
    </row>
    <row r="46">
      <c r="A46" s="2" t="inlineStr">
        <is>
          <t>☐</t>
        </is>
      </c>
      <c r="B46" s="2" t="inlineStr">
        <is>
          <t>inherent</t>
        </is>
      </c>
      <c r="C46" s="2" t="inlineStr">
        <is>
          <t>a</t>
        </is>
      </c>
      <c r="D46" s="2" t="inlineStr">
        <is>
          <t>내재하는</t>
        </is>
      </c>
      <c r="E46" s="2">
        <f> intrinsic</f>
        <v/>
      </c>
    </row>
    <row r="47">
      <c r="A47" s="2" t="inlineStr">
        <is>
          <t>☐</t>
        </is>
      </c>
      <c r="B47" s="2" t="inlineStr">
        <is>
          <t>initial</t>
        </is>
      </c>
      <c r="C47" s="2" t="inlineStr">
        <is>
          <t>a</t>
        </is>
      </c>
      <c r="D47" s="2" t="inlineStr">
        <is>
          <t>초기의</t>
        </is>
      </c>
      <c r="E47" s="2" t="inlineStr">
        <is>
          <t>initially</t>
        </is>
      </c>
    </row>
    <row r="48">
      <c r="A48" s="2" t="inlineStr">
        <is>
          <t>☐</t>
        </is>
      </c>
      <c r="B48" s="2" t="inlineStr">
        <is>
          <t>innovation</t>
        </is>
      </c>
      <c r="C48" s="2" t="inlineStr">
        <is>
          <t>n</t>
        </is>
      </c>
      <c r="D48" s="2" t="inlineStr">
        <is>
          <t>혁신</t>
        </is>
      </c>
      <c r="E48" s="2" t="inlineStr">
        <is>
          <t>innovative</t>
        </is>
      </c>
    </row>
    <row r="49">
      <c r="A49" s="2" t="inlineStr">
        <is>
          <t>☐</t>
        </is>
      </c>
      <c r="B49" s="2" t="inlineStr">
        <is>
          <t>interact</t>
        </is>
      </c>
      <c r="C49" s="2" t="inlineStr">
        <is>
          <t>v</t>
        </is>
      </c>
      <c r="D49" s="2" t="inlineStr">
        <is>
          <t>상호작용하다</t>
        </is>
      </c>
      <c r="E49" s="2" t="inlineStr">
        <is>
          <t>interaction</t>
        </is>
      </c>
    </row>
    <row r="50">
      <c r="A50" s="2" t="inlineStr">
        <is>
          <t>☐</t>
        </is>
      </c>
      <c r="B50" s="2" t="inlineStr">
        <is>
          <t>interpret</t>
        </is>
      </c>
      <c r="C50" s="2" t="inlineStr">
        <is>
          <t>v</t>
        </is>
      </c>
      <c r="D50" s="2" t="inlineStr">
        <is>
          <t>해석하다</t>
        </is>
      </c>
      <c r="E50" s="2" t="inlineStr">
        <is>
          <t>interpretation</t>
        </is>
      </c>
    </row>
    <row r="51">
      <c r="A51" s="2" t="inlineStr">
        <is>
          <t>☐</t>
        </is>
      </c>
      <c r="B51" s="2" t="inlineStr">
        <is>
          <t>manipulate</t>
        </is>
      </c>
      <c r="C51" s="2" t="inlineStr">
        <is>
          <t>v</t>
        </is>
      </c>
      <c r="D51" s="2" t="inlineStr">
        <is>
          <t>조작하다</t>
        </is>
      </c>
      <c r="E51" s="2" t="inlineStr">
        <is>
          <t>manipulation</t>
        </is>
      </c>
    </row>
    <row r="52">
      <c r="A52" s="2" t="inlineStr">
        <is>
          <t>☐</t>
        </is>
      </c>
      <c r="B52" s="2" t="inlineStr">
        <is>
          <t>mechanism</t>
        </is>
      </c>
      <c r="C52" s="2" t="inlineStr">
        <is>
          <t>n</t>
        </is>
      </c>
      <c r="D52" s="2" t="inlineStr">
        <is>
          <t>작동 원리, 구조</t>
        </is>
      </c>
      <c r="E52" s="2" t="inlineStr"/>
    </row>
    <row r="53">
      <c r="A53" s="2" t="inlineStr">
        <is>
          <t>☐</t>
        </is>
      </c>
      <c r="B53" s="2" t="inlineStr">
        <is>
          <t>neglect</t>
        </is>
      </c>
      <c r="C53" s="2" t="inlineStr">
        <is>
          <t>v/n</t>
        </is>
      </c>
      <c r="D53" s="2" t="inlineStr">
        <is>
          <t>무시하다, 방치(하다)</t>
        </is>
      </c>
      <c r="E53" s="2">
        <f> ignore</f>
        <v/>
      </c>
    </row>
    <row r="54">
      <c r="A54" s="2" t="inlineStr">
        <is>
          <t>☐</t>
        </is>
      </c>
      <c r="B54" s="2" t="inlineStr">
        <is>
          <t>norm</t>
        </is>
      </c>
      <c r="C54" s="2" t="inlineStr">
        <is>
          <t>n</t>
        </is>
      </c>
      <c r="D54" s="2" t="inlineStr">
        <is>
          <t>규범, 표준</t>
        </is>
      </c>
      <c r="E54" s="2" t="inlineStr"/>
    </row>
    <row r="55">
      <c r="A55" s="2" t="inlineStr">
        <is>
          <t>☐</t>
        </is>
      </c>
      <c r="B55" s="2" t="inlineStr">
        <is>
          <t>numerous</t>
        </is>
      </c>
      <c r="C55" s="2" t="inlineStr">
        <is>
          <t>a</t>
        </is>
      </c>
      <c r="D55" s="2" t="inlineStr">
        <is>
          <t>많은</t>
        </is>
      </c>
      <c r="E55" s="2">
        <f> many</f>
        <v/>
      </c>
    </row>
    <row r="56">
      <c r="A56" s="2" t="inlineStr">
        <is>
          <t>☐</t>
        </is>
      </c>
      <c r="B56" s="2" t="inlineStr">
        <is>
          <t>obtain</t>
        </is>
      </c>
      <c r="C56" s="2" t="inlineStr">
        <is>
          <t>v</t>
        </is>
      </c>
      <c r="D56" s="2" t="inlineStr">
        <is>
          <t>얻다</t>
        </is>
      </c>
      <c r="E56" s="2">
        <f> gain</f>
        <v/>
      </c>
    </row>
    <row r="57">
      <c r="A57" s="2" t="inlineStr">
        <is>
          <t>☐</t>
        </is>
      </c>
      <c r="B57" s="2" t="inlineStr">
        <is>
          <t>perspective</t>
        </is>
      </c>
      <c r="C57" s="2" t="inlineStr">
        <is>
          <t>n</t>
        </is>
      </c>
      <c r="D57" s="2" t="inlineStr">
        <is>
          <t>관점</t>
        </is>
      </c>
      <c r="E57" s="2">
        <f> viewpoint</f>
        <v/>
      </c>
    </row>
    <row r="58">
      <c r="A58" s="2" t="inlineStr">
        <is>
          <t>☐</t>
        </is>
      </c>
      <c r="B58" s="2" t="inlineStr">
        <is>
          <t>phenomenon</t>
        </is>
      </c>
      <c r="C58" s="2" t="inlineStr">
        <is>
          <t>n</t>
        </is>
      </c>
      <c r="D58" s="2" t="inlineStr">
        <is>
          <t>현상 (pl. phenomena)</t>
        </is>
      </c>
      <c r="E58" s="2" t="inlineStr"/>
    </row>
    <row r="59">
      <c r="A59" s="2" t="inlineStr">
        <is>
          <t>☐</t>
        </is>
      </c>
      <c r="B59" s="2" t="inlineStr">
        <is>
          <t>precise</t>
        </is>
      </c>
      <c r="C59" s="2" t="inlineStr">
        <is>
          <t>a</t>
        </is>
      </c>
      <c r="D59" s="2" t="inlineStr">
        <is>
          <t>정확한</t>
        </is>
      </c>
      <c r="E59" s="2" t="inlineStr">
        <is>
          <t>precision</t>
        </is>
      </c>
    </row>
    <row r="60">
      <c r="A60" s="2" t="inlineStr">
        <is>
          <t>☐</t>
        </is>
      </c>
      <c r="B60" s="2" t="inlineStr">
        <is>
          <t>primary</t>
        </is>
      </c>
      <c r="C60" s="2" t="inlineStr">
        <is>
          <t>a</t>
        </is>
      </c>
      <c r="D60" s="2" t="inlineStr">
        <is>
          <t>주된, 최초의</t>
        </is>
      </c>
      <c r="E60" s="2" t="inlineStr">
        <is>
          <t>primarily</t>
        </is>
      </c>
    </row>
    <row r="61">
      <c r="A61" s="2" t="inlineStr">
        <is>
          <t>☐</t>
        </is>
      </c>
      <c r="B61" s="2" t="inlineStr">
        <is>
          <t>prior</t>
        </is>
      </c>
      <c r="C61" s="2" t="inlineStr">
        <is>
          <t>a</t>
        </is>
      </c>
      <c r="D61" s="2" t="inlineStr">
        <is>
          <t>이전의 (prior to ~보다 앞서)</t>
        </is>
      </c>
      <c r="E61" s="2" t="inlineStr">
        <is>
          <t>priority</t>
        </is>
      </c>
    </row>
    <row r="62">
      <c r="A62" s="2" t="inlineStr">
        <is>
          <t>☐</t>
        </is>
      </c>
      <c r="B62" s="2" t="inlineStr">
        <is>
          <t>prompt</t>
        </is>
      </c>
      <c r="C62" s="2" t="inlineStr">
        <is>
          <t>v/a</t>
        </is>
      </c>
      <c r="D62" s="2" t="inlineStr">
        <is>
          <t>촉발하다; 즉각적인</t>
        </is>
      </c>
      <c r="E62" s="2" t="inlineStr"/>
    </row>
    <row r="63">
      <c r="A63" s="2" t="inlineStr">
        <is>
          <t>☐</t>
        </is>
      </c>
      <c r="B63" s="2" t="inlineStr">
        <is>
          <t>pursue</t>
        </is>
      </c>
      <c r="C63" s="2" t="inlineStr">
        <is>
          <t>v</t>
        </is>
      </c>
      <c r="D63" s="2" t="inlineStr">
        <is>
          <t>추구하다</t>
        </is>
      </c>
      <c r="E63" s="2" t="inlineStr">
        <is>
          <t>pursuit</t>
        </is>
      </c>
    </row>
    <row r="64">
      <c r="A64" s="2" t="inlineStr">
        <is>
          <t>☐</t>
        </is>
      </c>
      <c r="B64" s="2" t="inlineStr">
        <is>
          <t>rational</t>
        </is>
      </c>
      <c r="C64" s="2" t="inlineStr">
        <is>
          <t>a</t>
        </is>
      </c>
      <c r="D64" s="2" t="inlineStr">
        <is>
          <t>이성적인</t>
        </is>
      </c>
      <c r="E64" s="2" t="inlineStr">
        <is>
          <t>≠ irrational</t>
        </is>
      </c>
    </row>
    <row r="65">
      <c r="A65" s="2" t="inlineStr">
        <is>
          <t>☐</t>
        </is>
      </c>
      <c r="B65" s="2" t="inlineStr">
        <is>
          <t>reinforce</t>
        </is>
      </c>
      <c r="C65" s="2" t="inlineStr">
        <is>
          <t>v</t>
        </is>
      </c>
      <c r="D65" s="2" t="inlineStr">
        <is>
          <t>강화하다</t>
        </is>
      </c>
      <c r="E65" s="2" t="inlineStr">
        <is>
          <t>reinforcement</t>
        </is>
      </c>
    </row>
    <row r="66">
      <c r="A66" s="2" t="inlineStr">
        <is>
          <t>☐</t>
        </is>
      </c>
      <c r="B66" s="2" t="inlineStr">
        <is>
          <t>reject</t>
        </is>
      </c>
      <c r="C66" s="2" t="inlineStr">
        <is>
          <t>v</t>
        </is>
      </c>
      <c r="D66" s="2" t="inlineStr">
        <is>
          <t>거부하다</t>
        </is>
      </c>
      <c r="E66" s="2" t="inlineStr">
        <is>
          <t>rejection</t>
        </is>
      </c>
    </row>
    <row r="67">
      <c r="A67" s="2" t="inlineStr">
        <is>
          <t>☐</t>
        </is>
      </c>
      <c r="B67" s="2" t="inlineStr">
        <is>
          <t>relevant</t>
        </is>
      </c>
      <c r="C67" s="2" t="inlineStr">
        <is>
          <t>a</t>
        </is>
      </c>
      <c r="D67" s="2" t="inlineStr">
        <is>
          <t>관련 있는</t>
        </is>
      </c>
      <c r="E67" s="2" t="inlineStr">
        <is>
          <t>≠ irrelevant</t>
        </is>
      </c>
    </row>
    <row r="68">
      <c r="A68" s="2" t="inlineStr">
        <is>
          <t>☐</t>
        </is>
      </c>
      <c r="B68" s="2" t="inlineStr">
        <is>
          <t>reluctant</t>
        </is>
      </c>
      <c r="C68" s="2" t="inlineStr">
        <is>
          <t>a</t>
        </is>
      </c>
      <c r="D68" s="2" t="inlineStr">
        <is>
          <t>꺼리는</t>
        </is>
      </c>
      <c r="E68" s="2" t="inlineStr">
        <is>
          <t>reluctance</t>
        </is>
      </c>
    </row>
    <row r="69">
      <c r="A69" s="2" t="inlineStr">
        <is>
          <t>☐</t>
        </is>
      </c>
      <c r="B69" s="2" t="inlineStr">
        <is>
          <t>rely on</t>
        </is>
      </c>
      <c r="C69" s="2" t="inlineStr">
        <is>
          <t>v</t>
        </is>
      </c>
      <c r="D69" s="2" t="inlineStr">
        <is>
          <t>의존하다</t>
        </is>
      </c>
      <c r="E69" s="2">
        <f> depend on</f>
        <v/>
      </c>
    </row>
    <row r="70">
      <c r="A70" s="2" t="inlineStr">
        <is>
          <t>☐</t>
        </is>
      </c>
      <c r="B70" s="2" t="inlineStr">
        <is>
          <t>restrict</t>
        </is>
      </c>
      <c r="C70" s="2" t="inlineStr">
        <is>
          <t>v</t>
        </is>
      </c>
      <c r="D70" s="2" t="inlineStr">
        <is>
          <t>제한하다</t>
        </is>
      </c>
      <c r="E70" s="2" t="inlineStr">
        <is>
          <t>restriction</t>
        </is>
      </c>
    </row>
    <row r="71">
      <c r="A71" s="2" t="inlineStr">
        <is>
          <t>☐</t>
        </is>
      </c>
      <c r="B71" s="2" t="inlineStr">
        <is>
          <t>significant</t>
        </is>
      </c>
      <c r="C71" s="2" t="inlineStr">
        <is>
          <t>a</t>
        </is>
      </c>
      <c r="D71" s="2" t="inlineStr">
        <is>
          <t>중요한, 상당한</t>
        </is>
      </c>
      <c r="E71" s="2" t="inlineStr">
        <is>
          <t>significance</t>
        </is>
      </c>
    </row>
    <row r="72">
      <c r="A72" s="2" t="inlineStr">
        <is>
          <t>☐</t>
        </is>
      </c>
      <c r="B72" s="2" t="inlineStr">
        <is>
          <t>simultaneously</t>
        </is>
      </c>
      <c r="C72" s="2" t="inlineStr">
        <is>
          <t>ad</t>
        </is>
      </c>
      <c r="D72" s="2" t="inlineStr">
        <is>
          <t>동시에</t>
        </is>
      </c>
      <c r="E72" s="2">
        <f> at the same time</f>
        <v/>
      </c>
    </row>
    <row r="73">
      <c r="A73" s="2" t="inlineStr">
        <is>
          <t>☐</t>
        </is>
      </c>
      <c r="B73" s="2" t="inlineStr">
        <is>
          <t>specific</t>
        </is>
      </c>
      <c r="C73" s="2" t="inlineStr">
        <is>
          <t>a</t>
        </is>
      </c>
      <c r="D73" s="2" t="inlineStr">
        <is>
          <t>구체적인, 특정한</t>
        </is>
      </c>
      <c r="E73" s="2" t="inlineStr">
        <is>
          <t>specify</t>
        </is>
      </c>
    </row>
    <row r="74">
      <c r="A74" s="2" t="inlineStr">
        <is>
          <t>☐</t>
        </is>
      </c>
      <c r="B74" s="2" t="inlineStr">
        <is>
          <t>stimulate</t>
        </is>
      </c>
      <c r="C74" s="2" t="inlineStr">
        <is>
          <t>v</t>
        </is>
      </c>
      <c r="D74" s="2" t="inlineStr">
        <is>
          <t>자극하다</t>
        </is>
      </c>
      <c r="E74" s="2" t="inlineStr">
        <is>
          <t>stimulus</t>
        </is>
      </c>
    </row>
    <row r="75">
      <c r="A75" s="2" t="inlineStr">
        <is>
          <t>☐</t>
        </is>
      </c>
      <c r="B75" s="2" t="inlineStr">
        <is>
          <t>subsequent</t>
        </is>
      </c>
      <c r="C75" s="2" t="inlineStr">
        <is>
          <t>a</t>
        </is>
      </c>
      <c r="D75" s="2" t="inlineStr">
        <is>
          <t>그 다음의</t>
        </is>
      </c>
      <c r="E75" s="2" t="inlineStr">
        <is>
          <t>subsequently</t>
        </is>
      </c>
    </row>
    <row r="76">
      <c r="A76" s="2" t="inlineStr">
        <is>
          <t>☐</t>
        </is>
      </c>
      <c r="B76" s="2" t="inlineStr">
        <is>
          <t>sustain</t>
        </is>
      </c>
      <c r="C76" s="2" t="inlineStr">
        <is>
          <t>v</t>
        </is>
      </c>
      <c r="D76" s="2" t="inlineStr">
        <is>
          <t>지속시키다</t>
        </is>
      </c>
      <c r="E76" s="2" t="inlineStr">
        <is>
          <t>sustainable</t>
        </is>
      </c>
    </row>
    <row r="77">
      <c r="A77" s="2" t="inlineStr">
        <is>
          <t>☐</t>
        </is>
      </c>
      <c r="B77" s="2" t="inlineStr">
        <is>
          <t>transform</t>
        </is>
      </c>
      <c r="C77" s="2" t="inlineStr">
        <is>
          <t>v</t>
        </is>
      </c>
      <c r="D77" s="2" t="inlineStr">
        <is>
          <t>변형시키다</t>
        </is>
      </c>
      <c r="E77" s="2" t="inlineStr">
        <is>
          <t>transformation</t>
        </is>
      </c>
    </row>
    <row r="78">
      <c r="A78" s="2" t="inlineStr">
        <is>
          <t>☐</t>
        </is>
      </c>
      <c r="B78" s="2" t="inlineStr">
        <is>
          <t>transmit</t>
        </is>
      </c>
      <c r="C78" s="2" t="inlineStr">
        <is>
          <t>v</t>
        </is>
      </c>
      <c r="D78" s="2" t="inlineStr">
        <is>
          <t>전달하다</t>
        </is>
      </c>
      <c r="E78" s="2" t="inlineStr">
        <is>
          <t>transmission</t>
        </is>
      </c>
    </row>
    <row r="79">
      <c r="A79" s="2" t="inlineStr">
        <is>
          <t>☐</t>
        </is>
      </c>
      <c r="B79" s="2" t="inlineStr">
        <is>
          <t>undergo</t>
        </is>
      </c>
      <c r="C79" s="2" t="inlineStr">
        <is>
          <t>v</t>
        </is>
      </c>
      <c r="D79" s="2" t="inlineStr">
        <is>
          <t>겪다</t>
        </is>
      </c>
      <c r="E79" s="2">
        <f> experience</f>
        <v/>
      </c>
    </row>
    <row r="80">
      <c r="A80" s="2" t="inlineStr">
        <is>
          <t>☐</t>
        </is>
      </c>
      <c r="B80" s="2" t="inlineStr">
        <is>
          <t>vary</t>
        </is>
      </c>
      <c r="C80" s="2" t="inlineStr">
        <is>
          <t>v</t>
        </is>
      </c>
      <c r="D80" s="2" t="inlineStr">
        <is>
          <t>다양하다, 변하다</t>
        </is>
      </c>
      <c r="E80" s="2" t="inlineStr">
        <is>
          <t>variety, various</t>
        </is>
      </c>
    </row>
    <row r="81">
      <c r="A81" s="2" t="inlineStr">
        <is>
          <t>☐</t>
        </is>
      </c>
      <c r="B81" s="2" t="inlineStr">
        <is>
          <t>widespread</t>
        </is>
      </c>
      <c r="C81" s="2" t="inlineStr">
        <is>
          <t>a</t>
        </is>
      </c>
      <c r="D81" s="2" t="inlineStr">
        <is>
          <t>널리 퍼진</t>
        </is>
      </c>
      <c r="E8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.7" customWidth="1" min="2" max="2"/>
    <col width="5.9" customWidth="1" min="3" max="3"/>
    <col width="20.2" customWidth="1" min="4" max="4"/>
    <col width="42.3" customWidth="1" min="5" max="5"/>
  </cols>
  <sheetData>
    <row r="1">
      <c r="A1" s="1" t="inlineStr">
        <is>
          <t>☐</t>
        </is>
      </c>
      <c r="B1" s="1" t="inlineStr">
        <is>
          <t>단어</t>
        </is>
      </c>
      <c r="C1" s="1" t="inlineStr">
        <is>
          <t>품사</t>
        </is>
      </c>
      <c r="D1" s="1" t="inlineStr">
        <is>
          <t>뜻</t>
        </is>
      </c>
      <c r="E1" s="1" t="inlineStr">
        <is>
          <t>파생어·유의어</t>
        </is>
      </c>
    </row>
    <row r="2">
      <c r="A2" s="2" t="inlineStr">
        <is>
          <t>☐</t>
        </is>
      </c>
      <c r="B2" s="2" t="inlineStr">
        <is>
          <t>accommodate</t>
        </is>
      </c>
      <c r="C2" s="2" t="inlineStr">
        <is>
          <t>v</t>
        </is>
      </c>
      <c r="D2" s="2" t="inlineStr">
        <is>
          <t>수용하다, 맞추다</t>
        </is>
      </c>
      <c r="E2" s="2" t="inlineStr">
        <is>
          <t>accommodation</t>
        </is>
      </c>
    </row>
    <row r="3">
      <c r="A3" s="2" t="inlineStr">
        <is>
          <t>☐</t>
        </is>
      </c>
      <c r="B3" s="2" t="inlineStr">
        <is>
          <t>advocate</t>
        </is>
      </c>
      <c r="C3" s="2" t="inlineStr">
        <is>
          <t>v/n</t>
        </is>
      </c>
      <c r="D3" s="2" t="inlineStr">
        <is>
          <t>지지하다; 지지자</t>
        </is>
      </c>
      <c r="E3" s="2">
        <f> support</f>
        <v/>
      </c>
    </row>
    <row r="4">
      <c r="A4" s="2" t="inlineStr">
        <is>
          <t>☐</t>
        </is>
      </c>
      <c r="B4" s="2" t="inlineStr">
        <is>
          <t>aesthetic</t>
        </is>
      </c>
      <c r="C4" s="2" t="inlineStr">
        <is>
          <t>a</t>
        </is>
      </c>
      <c r="D4" s="2" t="inlineStr">
        <is>
          <t>미적인</t>
        </is>
      </c>
      <c r="E4" s="2" t="inlineStr">
        <is>
          <t>aesthetics</t>
        </is>
      </c>
    </row>
    <row r="5">
      <c r="A5" s="2" t="inlineStr">
        <is>
          <t>☐</t>
        </is>
      </c>
      <c r="B5" s="2" t="inlineStr">
        <is>
          <t>ambiguous</t>
        </is>
      </c>
      <c r="C5" s="2" t="inlineStr">
        <is>
          <t>a</t>
        </is>
      </c>
      <c r="D5" s="2" t="inlineStr">
        <is>
          <t>애매한</t>
        </is>
      </c>
      <c r="E5" s="2" t="inlineStr">
        <is>
          <t>ambiguity</t>
        </is>
      </c>
    </row>
    <row r="6">
      <c r="A6" s="2" t="inlineStr">
        <is>
          <t>☐</t>
        </is>
      </c>
      <c r="B6" s="2" t="inlineStr">
        <is>
          <t>ambivalent</t>
        </is>
      </c>
      <c r="C6" s="2" t="inlineStr">
        <is>
          <t>a</t>
        </is>
      </c>
      <c r="D6" s="2" t="inlineStr">
        <is>
          <t>양가적인</t>
        </is>
      </c>
      <c r="E6" s="2" t="inlineStr">
        <is>
          <t>ambivalence</t>
        </is>
      </c>
    </row>
    <row r="7">
      <c r="A7" s="2" t="inlineStr">
        <is>
          <t>☐</t>
        </is>
      </c>
      <c r="B7" s="2" t="inlineStr">
        <is>
          <t>arbitrary</t>
        </is>
      </c>
      <c r="C7" s="2" t="inlineStr">
        <is>
          <t>a</t>
        </is>
      </c>
      <c r="D7" s="2" t="inlineStr">
        <is>
          <t>임의적인</t>
        </is>
      </c>
      <c r="E7" s="2" t="inlineStr">
        <is>
          <t>(고2 복습)</t>
        </is>
      </c>
    </row>
    <row r="8">
      <c r="A8" s="2" t="inlineStr">
        <is>
          <t>☐</t>
        </is>
      </c>
      <c r="B8" s="2" t="inlineStr">
        <is>
          <t>articulate</t>
        </is>
      </c>
      <c r="C8" s="2" t="inlineStr">
        <is>
          <t>v/a</t>
        </is>
      </c>
      <c r="D8" s="2" t="inlineStr">
        <is>
          <t>또렷이 표현하다; 또렷한</t>
        </is>
      </c>
      <c r="E8" s="2" t="inlineStr"/>
    </row>
    <row r="9">
      <c r="A9" s="2" t="inlineStr">
        <is>
          <t>☐</t>
        </is>
      </c>
      <c r="B9" s="2" t="inlineStr">
        <is>
          <t>autonomy</t>
        </is>
      </c>
      <c r="C9" s="2" t="inlineStr">
        <is>
          <t>n</t>
        </is>
      </c>
      <c r="D9" s="2" t="inlineStr">
        <is>
          <t>자율성</t>
        </is>
      </c>
      <c r="E9" s="2" t="inlineStr">
        <is>
          <t>autonomous</t>
        </is>
      </c>
    </row>
    <row r="10">
      <c r="A10" s="2" t="inlineStr">
        <is>
          <t>☐</t>
        </is>
      </c>
      <c r="B10" s="2" t="inlineStr">
        <is>
          <t>coherent</t>
        </is>
      </c>
      <c r="C10" s="2" t="inlineStr">
        <is>
          <t>a</t>
        </is>
      </c>
      <c r="D10" s="2" t="inlineStr">
        <is>
          <t>일관성 있는</t>
        </is>
      </c>
      <c r="E10" s="2" t="inlineStr">
        <is>
          <t>coherence</t>
        </is>
      </c>
    </row>
    <row r="11">
      <c r="A11" s="2" t="inlineStr">
        <is>
          <t>☐</t>
        </is>
      </c>
      <c r="B11" s="2" t="inlineStr">
        <is>
          <t>compatible</t>
        </is>
      </c>
      <c r="C11" s="2" t="inlineStr">
        <is>
          <t>a</t>
        </is>
      </c>
      <c r="D11" s="2" t="inlineStr">
        <is>
          <t>양립할 수 있는</t>
        </is>
      </c>
      <c r="E11" s="2" t="inlineStr">
        <is>
          <t>≠ incompatible</t>
        </is>
      </c>
    </row>
    <row r="12">
      <c r="A12" s="2" t="inlineStr">
        <is>
          <t>☐</t>
        </is>
      </c>
      <c r="B12" s="2" t="inlineStr">
        <is>
          <t>complement</t>
        </is>
      </c>
      <c r="C12" s="2" t="inlineStr">
        <is>
          <t>v/n</t>
        </is>
      </c>
      <c r="D12" s="2" t="inlineStr">
        <is>
          <t>보완하다</t>
        </is>
      </c>
      <c r="E12" s="2" t="inlineStr">
        <is>
          <t>complementary (≠ compliment 칭찬)</t>
        </is>
      </c>
    </row>
    <row r="13">
      <c r="A13" s="2" t="inlineStr">
        <is>
          <t>☐</t>
        </is>
      </c>
      <c r="B13" s="2" t="inlineStr">
        <is>
          <t>comply</t>
        </is>
      </c>
      <c r="C13" s="2" t="inlineStr">
        <is>
          <t>v</t>
        </is>
      </c>
      <c r="D13" s="2" t="inlineStr">
        <is>
          <t>준수하다 (with)</t>
        </is>
      </c>
      <c r="E13" s="2" t="inlineStr">
        <is>
          <t>compliance</t>
        </is>
      </c>
    </row>
    <row r="14">
      <c r="A14" s="2" t="inlineStr">
        <is>
          <t>☐</t>
        </is>
      </c>
      <c r="B14" s="2" t="inlineStr">
        <is>
          <t>conceive</t>
        </is>
      </c>
      <c r="C14" s="2" t="inlineStr">
        <is>
          <t>v</t>
        </is>
      </c>
      <c r="D14" s="2" t="inlineStr">
        <is>
          <t>상상하다, 고안하다</t>
        </is>
      </c>
      <c r="E14" s="2" t="inlineStr">
        <is>
          <t>conception</t>
        </is>
      </c>
    </row>
    <row r="15">
      <c r="A15" s="2" t="inlineStr">
        <is>
          <t>☐</t>
        </is>
      </c>
      <c r="B15" s="2" t="inlineStr">
        <is>
          <t>confine</t>
        </is>
      </c>
      <c r="C15" s="2" t="inlineStr">
        <is>
          <t>v</t>
        </is>
      </c>
      <c r="D15" s="2" t="inlineStr">
        <is>
          <t>국한하다, 가두다</t>
        </is>
      </c>
      <c r="E15" s="2">
        <f> limit</f>
        <v/>
      </c>
    </row>
    <row r="16">
      <c r="A16" s="2" t="inlineStr">
        <is>
          <t>☐</t>
        </is>
      </c>
      <c r="B16" s="2" t="inlineStr">
        <is>
          <t>conform</t>
        </is>
      </c>
      <c r="C16" s="2" t="inlineStr">
        <is>
          <t>v</t>
        </is>
      </c>
      <c r="D16" s="2" t="inlineStr">
        <is>
          <t>순응하다 (to)</t>
        </is>
      </c>
      <c r="E16" s="2" t="inlineStr">
        <is>
          <t>conformity</t>
        </is>
      </c>
    </row>
    <row r="17">
      <c r="A17" s="2" t="inlineStr">
        <is>
          <t>☐</t>
        </is>
      </c>
      <c r="B17" s="2" t="inlineStr">
        <is>
          <t>contemplate</t>
        </is>
      </c>
      <c r="C17" s="2" t="inlineStr">
        <is>
          <t>v</t>
        </is>
      </c>
      <c r="D17" s="2" t="inlineStr">
        <is>
          <t>숙고하다</t>
        </is>
      </c>
      <c r="E17" s="2" t="inlineStr">
        <is>
          <t>contemplation</t>
        </is>
      </c>
    </row>
    <row r="18">
      <c r="A18" s="2" t="inlineStr">
        <is>
          <t>☐</t>
        </is>
      </c>
      <c r="B18" s="2" t="inlineStr">
        <is>
          <t>contradict</t>
        </is>
      </c>
      <c r="C18" s="2" t="inlineStr">
        <is>
          <t>v</t>
        </is>
      </c>
      <c r="D18" s="2" t="inlineStr">
        <is>
          <t>모순되다, 반박하다</t>
        </is>
      </c>
      <c r="E18" s="2" t="inlineStr">
        <is>
          <t>contradiction</t>
        </is>
      </c>
    </row>
    <row r="19">
      <c r="A19" s="2" t="inlineStr">
        <is>
          <t>☐</t>
        </is>
      </c>
      <c r="B19" s="2" t="inlineStr">
        <is>
          <t>conventional wisdom</t>
        </is>
      </c>
      <c r="C19" s="2" t="inlineStr">
        <is>
          <t>n</t>
        </is>
      </c>
      <c r="D19" s="2" t="inlineStr">
        <is>
          <t>통념</t>
        </is>
      </c>
      <c r="E19" s="2" t="inlineStr"/>
    </row>
    <row r="20">
      <c r="A20" s="2" t="inlineStr">
        <is>
          <t>☐</t>
        </is>
      </c>
      <c r="B20" s="2" t="inlineStr">
        <is>
          <t>counterpart</t>
        </is>
      </c>
      <c r="C20" s="2" t="inlineStr">
        <is>
          <t>n</t>
        </is>
      </c>
      <c r="D20" s="2" t="inlineStr">
        <is>
          <t>상대방, 대응물</t>
        </is>
      </c>
      <c r="E20" s="2" t="inlineStr"/>
    </row>
    <row r="21">
      <c r="A21" s="2" t="inlineStr">
        <is>
          <t>☐</t>
        </is>
      </c>
      <c r="B21" s="2" t="inlineStr">
        <is>
          <t>credibility</t>
        </is>
      </c>
      <c r="C21" s="2" t="inlineStr">
        <is>
          <t>n</t>
        </is>
      </c>
      <c r="D21" s="2" t="inlineStr">
        <is>
          <t>신뢰성</t>
        </is>
      </c>
      <c r="E21" s="2" t="inlineStr">
        <is>
          <t>credible</t>
        </is>
      </c>
    </row>
    <row r="22">
      <c r="A22" s="2" t="inlineStr">
        <is>
          <t>☐</t>
        </is>
      </c>
      <c r="B22" s="2" t="inlineStr">
        <is>
          <t>detach</t>
        </is>
      </c>
      <c r="C22" s="2" t="inlineStr">
        <is>
          <t>v</t>
        </is>
      </c>
      <c r="D22" s="2" t="inlineStr">
        <is>
          <t>분리하다</t>
        </is>
      </c>
      <c r="E22" s="2" t="inlineStr">
        <is>
          <t>detachment</t>
        </is>
      </c>
    </row>
    <row r="23">
      <c r="A23" s="2" t="inlineStr">
        <is>
          <t>☐</t>
        </is>
      </c>
      <c r="B23" s="2" t="inlineStr">
        <is>
          <t>discrepancy</t>
        </is>
      </c>
      <c r="C23" s="2" t="inlineStr">
        <is>
          <t>n</t>
        </is>
      </c>
      <c r="D23" s="2" t="inlineStr">
        <is>
          <t>불일치</t>
        </is>
      </c>
      <c r="E23" s="2">
        <f> gap</f>
        <v/>
      </c>
    </row>
    <row r="24">
      <c r="A24" s="2" t="inlineStr">
        <is>
          <t>☐</t>
        </is>
      </c>
      <c r="B24" s="2" t="inlineStr">
        <is>
          <t>disposition</t>
        </is>
      </c>
      <c r="C24" s="2" t="inlineStr">
        <is>
          <t>n</t>
        </is>
      </c>
      <c r="D24" s="2" t="inlineStr">
        <is>
          <t>기질, 성향</t>
        </is>
      </c>
      <c r="E24" s="2" t="inlineStr"/>
    </row>
    <row r="25">
      <c r="A25" s="2" t="inlineStr">
        <is>
          <t>☐</t>
        </is>
      </c>
      <c r="B25" s="2" t="inlineStr">
        <is>
          <t>dispute</t>
        </is>
      </c>
      <c r="C25" s="2" t="inlineStr">
        <is>
          <t>n/v</t>
        </is>
      </c>
      <c r="D25" s="2" t="inlineStr">
        <is>
          <t>논쟁(하다)</t>
        </is>
      </c>
      <c r="E25" s="2" t="inlineStr"/>
    </row>
    <row r="26">
      <c r="A26" s="2" t="inlineStr">
        <is>
          <t>☐</t>
        </is>
      </c>
      <c r="B26" s="2" t="inlineStr">
        <is>
          <t>domain</t>
        </is>
      </c>
      <c r="C26" s="2" t="inlineStr">
        <is>
          <t>n</t>
        </is>
      </c>
      <c r="D26" s="2" t="inlineStr">
        <is>
          <t>영역, 분야</t>
        </is>
      </c>
      <c r="E26" s="2">
        <f> field</f>
        <v/>
      </c>
    </row>
    <row r="27">
      <c r="A27" s="2" t="inlineStr">
        <is>
          <t>☐</t>
        </is>
      </c>
      <c r="B27" s="2" t="inlineStr">
        <is>
          <t>embody</t>
        </is>
      </c>
      <c r="C27" s="2" t="inlineStr">
        <is>
          <t>v</t>
        </is>
      </c>
      <c r="D27" s="2" t="inlineStr">
        <is>
          <t>구현하다</t>
        </is>
      </c>
      <c r="E27" s="2" t="inlineStr">
        <is>
          <t>embodiment</t>
        </is>
      </c>
    </row>
    <row r="28">
      <c r="A28" s="2" t="inlineStr">
        <is>
          <t>☐</t>
        </is>
      </c>
      <c r="B28" s="2" t="inlineStr">
        <is>
          <t>empirical</t>
        </is>
      </c>
      <c r="C28" s="2" t="inlineStr">
        <is>
          <t>a</t>
        </is>
      </c>
      <c r="D28" s="2" t="inlineStr">
        <is>
          <t>경험적인, 실증적인</t>
        </is>
      </c>
      <c r="E28" s="2" t="inlineStr"/>
    </row>
    <row r="29">
      <c r="A29" s="2" t="inlineStr">
        <is>
          <t>☐</t>
        </is>
      </c>
      <c r="B29" s="2" t="inlineStr">
        <is>
          <t>endeavor</t>
        </is>
      </c>
      <c r="C29" s="2" t="inlineStr">
        <is>
          <t>n/v</t>
        </is>
      </c>
      <c r="D29" s="2" t="inlineStr">
        <is>
          <t>노력(하다)</t>
        </is>
      </c>
      <c r="E29" s="2">
        <f> effort</f>
        <v/>
      </c>
    </row>
    <row r="30">
      <c r="A30" s="2" t="inlineStr">
        <is>
          <t>☐</t>
        </is>
      </c>
      <c r="B30" s="2" t="inlineStr">
        <is>
          <t>enhance</t>
        </is>
      </c>
      <c r="C30" s="2" t="inlineStr">
        <is>
          <t>v</t>
        </is>
      </c>
      <c r="D30" s="2" t="inlineStr">
        <is>
          <t>높이다</t>
        </is>
      </c>
      <c r="E30" s="2" t="inlineStr">
        <is>
          <t>(고2 복습)</t>
        </is>
      </c>
    </row>
    <row r="31">
      <c r="A31" s="2" t="inlineStr">
        <is>
          <t>☐</t>
        </is>
      </c>
      <c r="B31" s="2" t="inlineStr">
        <is>
          <t>entity</t>
        </is>
      </c>
      <c r="C31" s="2" t="inlineStr">
        <is>
          <t>n</t>
        </is>
      </c>
      <c r="D31" s="2" t="inlineStr">
        <is>
          <t>실체, 존재</t>
        </is>
      </c>
      <c r="E31" s="2" t="inlineStr"/>
    </row>
    <row r="32">
      <c r="A32" s="2" t="inlineStr">
        <is>
          <t>☐</t>
        </is>
      </c>
      <c r="B32" s="2" t="inlineStr">
        <is>
          <t>ethical</t>
        </is>
      </c>
      <c r="C32" s="2" t="inlineStr">
        <is>
          <t>a</t>
        </is>
      </c>
      <c r="D32" s="2" t="inlineStr">
        <is>
          <t>윤리적인</t>
        </is>
      </c>
      <c r="E32" s="2" t="inlineStr">
        <is>
          <t>ethics</t>
        </is>
      </c>
    </row>
    <row r="33">
      <c r="A33" s="2" t="inlineStr">
        <is>
          <t>☐</t>
        </is>
      </c>
      <c r="B33" s="2" t="inlineStr">
        <is>
          <t>exceed</t>
        </is>
      </c>
      <c r="C33" s="2" t="inlineStr">
        <is>
          <t>v</t>
        </is>
      </c>
      <c r="D33" s="2" t="inlineStr">
        <is>
          <t>넘어서다</t>
        </is>
      </c>
      <c r="E33" s="2" t="inlineStr">
        <is>
          <t>excess, excessive</t>
        </is>
      </c>
    </row>
    <row r="34">
      <c r="A34" s="2" t="inlineStr">
        <is>
          <t>☐</t>
        </is>
      </c>
      <c r="B34" s="2" t="inlineStr">
        <is>
          <t>exert</t>
        </is>
      </c>
      <c r="C34" s="2" t="inlineStr">
        <is>
          <t>v</t>
        </is>
      </c>
      <c r="D34" s="2" t="inlineStr">
        <is>
          <t>(힘을) 가하다, 발휘하다</t>
        </is>
      </c>
      <c r="E34" s="2" t="inlineStr">
        <is>
          <t>exertion</t>
        </is>
      </c>
    </row>
    <row r="35">
      <c r="A35" s="2" t="inlineStr">
        <is>
          <t>☐</t>
        </is>
      </c>
      <c r="B35" s="2" t="inlineStr">
        <is>
          <t>fallacy</t>
        </is>
      </c>
      <c r="C35" s="2" t="inlineStr">
        <is>
          <t>n</t>
        </is>
      </c>
      <c r="D35" s="2" t="inlineStr">
        <is>
          <t>오류</t>
        </is>
      </c>
      <c r="E35" s="2" t="inlineStr"/>
    </row>
    <row r="36">
      <c r="A36" s="2" t="inlineStr">
        <is>
          <t>☐</t>
        </is>
      </c>
      <c r="B36" s="2" t="inlineStr">
        <is>
          <t>foster</t>
        </is>
      </c>
      <c r="C36" s="2" t="inlineStr">
        <is>
          <t>v</t>
        </is>
      </c>
      <c r="D36" s="2" t="inlineStr">
        <is>
          <t>육성하다, 촉진하다</t>
        </is>
      </c>
      <c r="E36" s="2">
        <f> promote</f>
        <v/>
      </c>
    </row>
    <row r="37">
      <c r="A37" s="2" t="inlineStr">
        <is>
          <t>☐</t>
        </is>
      </c>
      <c r="B37" s="2" t="inlineStr">
        <is>
          <t>heritage</t>
        </is>
      </c>
      <c r="C37" s="2" t="inlineStr">
        <is>
          <t>n</t>
        </is>
      </c>
      <c r="D37" s="2" t="inlineStr">
        <is>
          <t>유산</t>
        </is>
      </c>
      <c r="E37" s="2" t="inlineStr"/>
    </row>
    <row r="38">
      <c r="A38" s="2" t="inlineStr">
        <is>
          <t>☐</t>
        </is>
      </c>
      <c r="B38" s="2" t="inlineStr">
        <is>
          <t>hierarchy</t>
        </is>
      </c>
      <c r="C38" s="2" t="inlineStr">
        <is>
          <t>n</t>
        </is>
      </c>
      <c r="D38" s="2" t="inlineStr">
        <is>
          <t>위계</t>
        </is>
      </c>
      <c r="E38" s="2" t="inlineStr">
        <is>
          <t>hierarchical</t>
        </is>
      </c>
    </row>
    <row r="39">
      <c r="A39" s="2" t="inlineStr">
        <is>
          <t>☐</t>
        </is>
      </c>
      <c r="B39" s="2" t="inlineStr">
        <is>
          <t>ideology</t>
        </is>
      </c>
      <c r="C39" s="2" t="inlineStr">
        <is>
          <t>n</t>
        </is>
      </c>
      <c r="D39" s="2" t="inlineStr">
        <is>
          <t>이념</t>
        </is>
      </c>
      <c r="E39" s="2" t="inlineStr"/>
    </row>
    <row r="40">
      <c r="A40" s="2" t="inlineStr">
        <is>
          <t>☐</t>
        </is>
      </c>
      <c r="B40" s="2" t="inlineStr">
        <is>
          <t>illusion</t>
        </is>
      </c>
      <c r="C40" s="2" t="inlineStr">
        <is>
          <t>n</t>
        </is>
      </c>
      <c r="D40" s="2" t="inlineStr">
        <is>
          <t>착각, 환상</t>
        </is>
      </c>
      <c r="E40" s="2" t="inlineStr">
        <is>
          <t>illusory</t>
        </is>
      </c>
    </row>
    <row r="41">
      <c r="A41" s="2" t="inlineStr">
        <is>
          <t>☐</t>
        </is>
      </c>
      <c r="B41" s="2" t="inlineStr">
        <is>
          <t>implement</t>
        </is>
      </c>
      <c r="C41" s="2" t="inlineStr">
        <is>
          <t>v</t>
        </is>
      </c>
      <c r="D41" s="2" t="inlineStr">
        <is>
          <t>실행하다</t>
        </is>
      </c>
      <c r="E41" s="2" t="inlineStr">
        <is>
          <t>implementation</t>
        </is>
      </c>
    </row>
    <row r="42">
      <c r="A42" s="2" t="inlineStr">
        <is>
          <t>☐</t>
        </is>
      </c>
      <c r="B42" s="2" t="inlineStr">
        <is>
          <t>implication</t>
        </is>
      </c>
      <c r="C42" s="2" t="inlineStr">
        <is>
          <t>n</t>
        </is>
      </c>
      <c r="D42" s="2" t="inlineStr">
        <is>
          <t>암시, 영향</t>
        </is>
      </c>
      <c r="E42" s="2" t="inlineStr">
        <is>
          <t>imply</t>
        </is>
      </c>
    </row>
    <row r="43">
      <c r="A43" s="2" t="inlineStr">
        <is>
          <t>☐</t>
        </is>
      </c>
      <c r="B43" s="2" t="inlineStr">
        <is>
          <t>incentive</t>
        </is>
      </c>
      <c r="C43" s="2" t="inlineStr">
        <is>
          <t>n</t>
        </is>
      </c>
      <c r="D43" s="2" t="inlineStr">
        <is>
          <t>유인책</t>
        </is>
      </c>
      <c r="E43" s="2" t="inlineStr"/>
    </row>
    <row r="44">
      <c r="A44" s="2" t="inlineStr">
        <is>
          <t>☐</t>
        </is>
      </c>
      <c r="B44" s="2" t="inlineStr">
        <is>
          <t>inclination</t>
        </is>
      </c>
      <c r="C44" s="2" t="inlineStr">
        <is>
          <t>n</t>
        </is>
      </c>
      <c r="D44" s="2" t="inlineStr">
        <is>
          <t>성향, 기울기</t>
        </is>
      </c>
      <c r="E44" s="2" t="inlineStr">
        <is>
          <t>inclined</t>
        </is>
      </c>
    </row>
    <row r="45">
      <c r="A45" s="2" t="inlineStr">
        <is>
          <t>☐</t>
        </is>
      </c>
      <c r="B45" s="2" t="inlineStr">
        <is>
          <t>indispensable</t>
        </is>
      </c>
      <c r="C45" s="2" t="inlineStr">
        <is>
          <t>a</t>
        </is>
      </c>
      <c r="D45" s="2" t="inlineStr">
        <is>
          <t>필수불가결한</t>
        </is>
      </c>
      <c r="E45" s="2">
        <f> essential</f>
        <v/>
      </c>
    </row>
    <row r="46">
      <c r="A46" s="2" t="inlineStr">
        <is>
          <t>☐</t>
        </is>
      </c>
      <c r="B46" s="2" t="inlineStr">
        <is>
          <t>inference</t>
        </is>
      </c>
      <c r="C46" s="2" t="inlineStr">
        <is>
          <t>n</t>
        </is>
      </c>
      <c r="D46" s="2" t="inlineStr">
        <is>
          <t>추론</t>
        </is>
      </c>
      <c r="E46" s="2" t="inlineStr">
        <is>
          <t>infer</t>
        </is>
      </c>
    </row>
    <row r="47">
      <c r="A47" s="2" t="inlineStr">
        <is>
          <t>☐</t>
        </is>
      </c>
      <c r="B47" s="2" t="inlineStr">
        <is>
          <t>inhibit</t>
        </is>
      </c>
      <c r="C47" s="2" t="inlineStr">
        <is>
          <t>v</t>
        </is>
      </c>
      <c r="D47" s="2" t="inlineStr">
        <is>
          <t>억제하다</t>
        </is>
      </c>
      <c r="E47" s="2" t="inlineStr">
        <is>
          <t>inhibition</t>
        </is>
      </c>
    </row>
    <row r="48">
      <c r="A48" s="2" t="inlineStr">
        <is>
          <t>☐</t>
        </is>
      </c>
      <c r="B48" s="2" t="inlineStr">
        <is>
          <t>integrity</t>
        </is>
      </c>
      <c r="C48" s="2" t="inlineStr">
        <is>
          <t>n</t>
        </is>
      </c>
      <c r="D48" s="2" t="inlineStr">
        <is>
          <t>진실성, 온전함</t>
        </is>
      </c>
      <c r="E48" s="2" t="inlineStr"/>
    </row>
    <row r="49">
      <c r="A49" s="2" t="inlineStr">
        <is>
          <t>☐</t>
        </is>
      </c>
      <c r="B49" s="2" t="inlineStr">
        <is>
          <t>intricate</t>
        </is>
      </c>
      <c r="C49" s="2" t="inlineStr">
        <is>
          <t>a</t>
        </is>
      </c>
      <c r="D49" s="2" t="inlineStr">
        <is>
          <t>복잡한</t>
        </is>
      </c>
      <c r="E49" s="2">
        <f> complex</f>
        <v/>
      </c>
    </row>
    <row r="50">
      <c r="A50" s="2" t="inlineStr">
        <is>
          <t>☐</t>
        </is>
      </c>
      <c r="B50" s="2" t="inlineStr">
        <is>
          <t>legitimate</t>
        </is>
      </c>
      <c r="C50" s="2" t="inlineStr">
        <is>
          <t>a</t>
        </is>
      </c>
      <c r="D50" s="2" t="inlineStr">
        <is>
          <t>합법적인, 정당한</t>
        </is>
      </c>
      <c r="E50" s="2" t="inlineStr">
        <is>
          <t>legitimacy</t>
        </is>
      </c>
    </row>
    <row r="51">
      <c r="A51" s="2" t="inlineStr">
        <is>
          <t>☐</t>
        </is>
      </c>
      <c r="B51" s="2" t="inlineStr">
        <is>
          <t>mediate</t>
        </is>
      </c>
      <c r="C51" s="2" t="inlineStr">
        <is>
          <t>v</t>
        </is>
      </c>
      <c r="D51" s="2" t="inlineStr">
        <is>
          <t>중재하다, 매개하다</t>
        </is>
      </c>
      <c r="E51" s="2" t="inlineStr">
        <is>
          <t>mediation</t>
        </is>
      </c>
    </row>
    <row r="52">
      <c r="A52" s="2" t="inlineStr">
        <is>
          <t>☐</t>
        </is>
      </c>
      <c r="B52" s="2" t="inlineStr">
        <is>
          <t>narrative</t>
        </is>
      </c>
      <c r="C52" s="2" t="inlineStr">
        <is>
          <t>n</t>
        </is>
      </c>
      <c r="D52" s="2" t="inlineStr">
        <is>
          <t>이야기, 서사</t>
        </is>
      </c>
      <c r="E52" s="2" t="inlineStr"/>
    </row>
    <row r="53">
      <c r="A53" s="2" t="inlineStr">
        <is>
          <t>☐</t>
        </is>
      </c>
      <c r="B53" s="2" t="inlineStr">
        <is>
          <t>notion</t>
        </is>
      </c>
      <c r="C53" s="2" t="inlineStr">
        <is>
          <t>n</t>
        </is>
      </c>
      <c r="D53" s="2" t="inlineStr">
        <is>
          <t>개념</t>
        </is>
      </c>
      <c r="E53" s="2">
        <f> concept</f>
        <v/>
      </c>
    </row>
    <row r="54">
      <c r="A54" s="2" t="inlineStr">
        <is>
          <t>☐</t>
        </is>
      </c>
      <c r="B54" s="2" t="inlineStr">
        <is>
          <t>paradox</t>
        </is>
      </c>
      <c r="C54" s="2" t="inlineStr">
        <is>
          <t>n</t>
        </is>
      </c>
      <c r="D54" s="2" t="inlineStr">
        <is>
          <t>역설</t>
        </is>
      </c>
      <c r="E54" s="2" t="inlineStr">
        <is>
          <t>paradoxical</t>
        </is>
      </c>
    </row>
    <row r="55">
      <c r="A55" s="2" t="inlineStr">
        <is>
          <t>☐</t>
        </is>
      </c>
      <c r="B55" s="2" t="inlineStr">
        <is>
          <t>perpetuate</t>
        </is>
      </c>
      <c r="C55" s="2" t="inlineStr">
        <is>
          <t>v</t>
        </is>
      </c>
      <c r="D55" s="2" t="inlineStr">
        <is>
          <t>영속시키다</t>
        </is>
      </c>
      <c r="E55" s="2" t="inlineStr"/>
    </row>
    <row r="56">
      <c r="A56" s="2" t="inlineStr">
        <is>
          <t>☐</t>
        </is>
      </c>
      <c r="B56" s="2" t="inlineStr">
        <is>
          <t>plausible</t>
        </is>
      </c>
      <c r="C56" s="2" t="inlineStr">
        <is>
          <t>a</t>
        </is>
      </c>
      <c r="D56" s="2" t="inlineStr">
        <is>
          <t>그럴듯한</t>
        </is>
      </c>
      <c r="E56" s="2" t="inlineStr">
        <is>
          <t>≠ implausible</t>
        </is>
      </c>
    </row>
    <row r="57">
      <c r="A57" s="2" t="inlineStr">
        <is>
          <t>☐</t>
        </is>
      </c>
      <c r="B57" s="2" t="inlineStr">
        <is>
          <t>predominantly</t>
        </is>
      </c>
      <c r="C57" s="2" t="inlineStr">
        <is>
          <t>ad</t>
        </is>
      </c>
      <c r="D57" s="2" t="inlineStr">
        <is>
          <t>주로</t>
        </is>
      </c>
      <c r="E57" s="2">
        <f> mainly</f>
        <v/>
      </c>
    </row>
    <row r="58">
      <c r="A58" s="2" t="inlineStr">
        <is>
          <t>☐</t>
        </is>
      </c>
      <c r="B58" s="2" t="inlineStr">
        <is>
          <t>premise</t>
        </is>
      </c>
      <c r="C58" s="2" t="inlineStr">
        <is>
          <t>n</t>
        </is>
      </c>
      <c r="D58" s="2" t="inlineStr">
        <is>
          <t>전제</t>
        </is>
      </c>
      <c r="E58" s="2" t="inlineStr"/>
    </row>
    <row r="59">
      <c r="A59" s="2" t="inlineStr">
        <is>
          <t>☐</t>
        </is>
      </c>
      <c r="B59" s="2" t="inlineStr">
        <is>
          <t>prevail</t>
        </is>
      </c>
      <c r="C59" s="2" t="inlineStr">
        <is>
          <t>v</t>
        </is>
      </c>
      <c r="D59" s="2" t="inlineStr">
        <is>
          <t>만연하다, 이기다</t>
        </is>
      </c>
      <c r="E59" s="2" t="inlineStr">
        <is>
          <t>prevalent</t>
        </is>
      </c>
    </row>
    <row r="60">
      <c r="A60" s="2" t="inlineStr">
        <is>
          <t>☐</t>
        </is>
      </c>
      <c r="B60" s="2" t="inlineStr">
        <is>
          <t>provoke</t>
        </is>
      </c>
      <c r="C60" s="2" t="inlineStr">
        <is>
          <t>v</t>
        </is>
      </c>
      <c r="D60" s="2" t="inlineStr">
        <is>
          <t>유발하다</t>
        </is>
      </c>
      <c r="E60" s="2">
        <f> trigger</f>
        <v/>
      </c>
    </row>
    <row r="61">
      <c r="A61" s="2" t="inlineStr">
        <is>
          <t>☐</t>
        </is>
      </c>
      <c r="B61" s="2" t="inlineStr">
        <is>
          <t>redundant</t>
        </is>
      </c>
      <c r="C61" s="2" t="inlineStr">
        <is>
          <t>a</t>
        </is>
      </c>
      <c r="D61" s="2" t="inlineStr">
        <is>
          <t>불필요한, 중복된</t>
        </is>
      </c>
      <c r="E61" s="2" t="inlineStr">
        <is>
          <t>redundancy</t>
        </is>
      </c>
    </row>
    <row r="62">
      <c r="A62" s="2" t="inlineStr">
        <is>
          <t>☐</t>
        </is>
      </c>
      <c r="B62" s="2" t="inlineStr">
        <is>
          <t>refute</t>
        </is>
      </c>
      <c r="C62" s="2" t="inlineStr">
        <is>
          <t>v</t>
        </is>
      </c>
      <c r="D62" s="2" t="inlineStr">
        <is>
          <t>반박하다</t>
        </is>
      </c>
      <c r="E62" s="2">
        <f> disprove</f>
        <v/>
      </c>
    </row>
    <row r="63">
      <c r="A63" s="2" t="inlineStr">
        <is>
          <t>☐</t>
        </is>
      </c>
      <c r="B63" s="2" t="inlineStr">
        <is>
          <t>reconcile</t>
        </is>
      </c>
      <c r="C63" s="2" t="inlineStr">
        <is>
          <t>v</t>
        </is>
      </c>
      <c r="D63" s="2" t="inlineStr">
        <is>
          <t>조화시키다, 화해시키다</t>
        </is>
      </c>
      <c r="E63" s="2" t="inlineStr">
        <is>
          <t>reconciliation</t>
        </is>
      </c>
    </row>
    <row r="64">
      <c r="A64" s="2" t="inlineStr">
        <is>
          <t>☐</t>
        </is>
      </c>
      <c r="B64" s="2" t="inlineStr">
        <is>
          <t>render</t>
        </is>
      </c>
      <c r="C64" s="2" t="inlineStr">
        <is>
          <t>v</t>
        </is>
      </c>
      <c r="D64" s="2" t="inlineStr">
        <is>
          <t>~하게 만들다 (5형식)</t>
        </is>
      </c>
      <c r="E64" s="2">
        <f> make</f>
        <v/>
      </c>
    </row>
    <row r="65">
      <c r="A65" s="2" t="inlineStr">
        <is>
          <t>☐</t>
        </is>
      </c>
      <c r="B65" s="2" t="inlineStr">
        <is>
          <t>scrutiny</t>
        </is>
      </c>
      <c r="C65" s="2" t="inlineStr">
        <is>
          <t>n</t>
        </is>
      </c>
      <c r="D65" s="2" t="inlineStr">
        <is>
          <t>정밀 조사</t>
        </is>
      </c>
      <c r="E65" s="2" t="inlineStr">
        <is>
          <t>scrutinize</t>
        </is>
      </c>
    </row>
    <row r="66">
      <c r="A66" s="2" t="inlineStr">
        <is>
          <t>☐</t>
        </is>
      </c>
      <c r="B66" s="2" t="inlineStr">
        <is>
          <t>skeptical</t>
        </is>
      </c>
      <c r="C66" s="2" t="inlineStr">
        <is>
          <t>a</t>
        </is>
      </c>
      <c r="D66" s="2" t="inlineStr">
        <is>
          <t>회의적인</t>
        </is>
      </c>
      <c r="E66" s="2" t="inlineStr">
        <is>
          <t>skepticism</t>
        </is>
      </c>
    </row>
    <row r="67">
      <c r="A67" s="2" t="inlineStr">
        <is>
          <t>☐</t>
        </is>
      </c>
      <c r="B67" s="2" t="inlineStr">
        <is>
          <t>spontaneous</t>
        </is>
      </c>
      <c r="C67" s="2" t="inlineStr">
        <is>
          <t>a</t>
        </is>
      </c>
      <c r="D67" s="2" t="inlineStr">
        <is>
          <t>자발적인</t>
        </is>
      </c>
      <c r="E67" s="2" t="inlineStr">
        <is>
          <t>spontaneity</t>
        </is>
      </c>
    </row>
    <row r="68">
      <c r="A68" s="2" t="inlineStr">
        <is>
          <t>☐</t>
        </is>
      </c>
      <c r="B68" s="2" t="inlineStr">
        <is>
          <t>static</t>
        </is>
      </c>
      <c r="C68" s="2" t="inlineStr">
        <is>
          <t>a</t>
        </is>
      </c>
      <c r="D68" s="2" t="inlineStr">
        <is>
          <t>정적인</t>
        </is>
      </c>
      <c r="E68" s="2" t="inlineStr">
        <is>
          <t>≠ dynamic</t>
        </is>
      </c>
    </row>
    <row r="69">
      <c r="A69" s="2" t="inlineStr">
        <is>
          <t>☐</t>
        </is>
      </c>
      <c r="B69" s="2" t="inlineStr">
        <is>
          <t>subordinate</t>
        </is>
      </c>
      <c r="C69" s="2" t="inlineStr">
        <is>
          <t>a/n</t>
        </is>
      </c>
      <c r="D69" s="2" t="inlineStr">
        <is>
          <t>종속된; 부하</t>
        </is>
      </c>
      <c r="E69" s="2" t="inlineStr"/>
    </row>
    <row r="70">
      <c r="A70" s="2" t="inlineStr">
        <is>
          <t>☐</t>
        </is>
      </c>
      <c r="B70" s="2" t="inlineStr">
        <is>
          <t>supplement</t>
        </is>
      </c>
      <c r="C70" s="2" t="inlineStr">
        <is>
          <t>v/n</t>
        </is>
      </c>
      <c r="D70" s="2" t="inlineStr">
        <is>
          <t>보충하다</t>
        </is>
      </c>
      <c r="E70" s="2" t="inlineStr">
        <is>
          <t>supplementary</t>
        </is>
      </c>
    </row>
    <row r="71">
      <c r="A71" s="2" t="inlineStr">
        <is>
          <t>☐</t>
        </is>
      </c>
      <c r="B71" s="2" t="inlineStr">
        <is>
          <t>suppress</t>
        </is>
      </c>
      <c r="C71" s="2" t="inlineStr">
        <is>
          <t>v</t>
        </is>
      </c>
      <c r="D71" s="2" t="inlineStr">
        <is>
          <t>억압하다</t>
        </is>
      </c>
      <c r="E71" s="2" t="inlineStr">
        <is>
          <t>suppression</t>
        </is>
      </c>
    </row>
    <row r="72">
      <c r="A72" s="2" t="inlineStr">
        <is>
          <t>☐</t>
        </is>
      </c>
      <c r="B72" s="2" t="inlineStr">
        <is>
          <t>tentative</t>
        </is>
      </c>
      <c r="C72" s="2" t="inlineStr">
        <is>
          <t>a</t>
        </is>
      </c>
      <c r="D72" s="2" t="inlineStr">
        <is>
          <t>잠정적인</t>
        </is>
      </c>
      <c r="E72" s="2" t="inlineStr"/>
    </row>
    <row r="73">
      <c r="A73" s="2" t="inlineStr">
        <is>
          <t>☐</t>
        </is>
      </c>
      <c r="B73" s="2" t="inlineStr">
        <is>
          <t>trait</t>
        </is>
      </c>
      <c r="C73" s="2" t="inlineStr">
        <is>
          <t>n</t>
        </is>
      </c>
      <c r="D73" s="2" t="inlineStr">
        <is>
          <t>특성</t>
        </is>
      </c>
      <c r="E73" s="2">
        <f> characteristic</f>
        <v/>
      </c>
    </row>
    <row r="74">
      <c r="A74" s="2" t="inlineStr">
        <is>
          <t>☐</t>
        </is>
      </c>
      <c r="B74" s="2" t="inlineStr">
        <is>
          <t>transparent</t>
        </is>
      </c>
      <c r="C74" s="2" t="inlineStr">
        <is>
          <t>a</t>
        </is>
      </c>
      <c r="D74" s="2" t="inlineStr">
        <is>
          <t>투명한</t>
        </is>
      </c>
      <c r="E74" s="2" t="inlineStr">
        <is>
          <t>transparency</t>
        </is>
      </c>
    </row>
    <row r="75">
      <c r="A75" s="2" t="inlineStr">
        <is>
          <t>☐</t>
        </is>
      </c>
      <c r="B75" s="2" t="inlineStr">
        <is>
          <t>trigger</t>
        </is>
      </c>
      <c r="C75" s="2" t="inlineStr">
        <is>
          <t>v/n</t>
        </is>
      </c>
      <c r="D75" s="2" t="inlineStr">
        <is>
          <t>유발하다; 계기</t>
        </is>
      </c>
      <c r="E75" s="2" t="inlineStr"/>
    </row>
    <row r="76">
      <c r="A76" s="2" t="inlineStr">
        <is>
          <t>☐</t>
        </is>
      </c>
      <c r="B76" s="2" t="inlineStr">
        <is>
          <t>ubiquitous</t>
        </is>
      </c>
      <c r="C76" s="2" t="inlineStr">
        <is>
          <t>a</t>
        </is>
      </c>
      <c r="D76" s="2" t="inlineStr">
        <is>
          <t>어디에나 있는</t>
        </is>
      </c>
      <c r="E76" s="2" t="inlineStr"/>
    </row>
    <row r="77">
      <c r="A77" s="2" t="inlineStr">
        <is>
          <t>☐</t>
        </is>
      </c>
      <c r="B77" s="2" t="inlineStr">
        <is>
          <t>undermine</t>
        </is>
      </c>
      <c r="C77" s="2" t="inlineStr">
        <is>
          <t>v</t>
        </is>
      </c>
      <c r="D77" s="2" t="inlineStr">
        <is>
          <t>약화시키다</t>
        </is>
      </c>
      <c r="E77" s="2">
        <f> weaken</f>
        <v/>
      </c>
    </row>
    <row r="78">
      <c r="A78" s="2" t="inlineStr">
        <is>
          <t>☐</t>
        </is>
      </c>
      <c r="B78" s="2" t="inlineStr">
        <is>
          <t>uniform</t>
        </is>
      </c>
      <c r="C78" s="2" t="inlineStr">
        <is>
          <t>a</t>
        </is>
      </c>
      <c r="D78" s="2" t="inlineStr">
        <is>
          <t>한결같은, 획일적인</t>
        </is>
      </c>
      <c r="E78" s="2" t="inlineStr">
        <is>
          <t>uniformity</t>
        </is>
      </c>
    </row>
    <row r="79">
      <c r="A79" s="2" t="inlineStr">
        <is>
          <t>☐</t>
        </is>
      </c>
      <c r="B79" s="2" t="inlineStr">
        <is>
          <t>validate</t>
        </is>
      </c>
      <c r="C79" s="2" t="inlineStr">
        <is>
          <t>v</t>
        </is>
      </c>
      <c r="D79" s="2" t="inlineStr">
        <is>
          <t>입증하다</t>
        </is>
      </c>
      <c r="E79" s="2" t="inlineStr">
        <is>
          <t>valid, validity</t>
        </is>
      </c>
    </row>
    <row r="80">
      <c r="A80" s="2" t="inlineStr">
        <is>
          <t>☐</t>
        </is>
      </c>
      <c r="B80" s="2" t="inlineStr">
        <is>
          <t>virtue</t>
        </is>
      </c>
      <c r="C80" s="2" t="inlineStr">
        <is>
          <t>n</t>
        </is>
      </c>
      <c r="D80" s="2" t="inlineStr">
        <is>
          <t>미덕</t>
        </is>
      </c>
      <c r="E80" s="2" t="inlineStr">
        <is>
          <t>by virtue of ~ 덕분에</t>
        </is>
      </c>
    </row>
    <row r="81">
      <c r="A81" s="2" t="inlineStr">
        <is>
          <t>☐</t>
        </is>
      </c>
      <c r="B81" s="2" t="inlineStr">
        <is>
          <t>yield</t>
        </is>
      </c>
      <c r="C81" s="2" t="inlineStr">
        <is>
          <t>v/n</t>
        </is>
      </c>
      <c r="D81" s="2" t="inlineStr">
        <is>
          <t>낳다, 양보하다; 산출량</t>
        </is>
      </c>
      <c r="E8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5" customWidth="1" min="2" max="2"/>
    <col width="24.1" customWidth="1" min="3" max="3"/>
    <col width="43.6" customWidth="1" min="4" max="4"/>
  </cols>
  <sheetData>
    <row r="1">
      <c r="A1" s="1" t="inlineStr">
        <is>
          <t>☐</t>
        </is>
      </c>
      <c r="B1" s="1" t="inlineStr">
        <is>
          <t>주제</t>
        </is>
      </c>
      <c r="C1" s="1" t="inlineStr">
        <is>
          <t>단어</t>
        </is>
      </c>
      <c r="D1" s="1" t="inlineStr">
        <is>
          <t>뜻</t>
        </is>
      </c>
    </row>
    <row r="2">
      <c r="A2" s="2" t="inlineStr">
        <is>
          <t>☐</t>
        </is>
      </c>
      <c r="B2" s="2" t="inlineStr">
        <is>
          <t>생물·진화</t>
        </is>
      </c>
      <c r="C2" s="2" t="inlineStr">
        <is>
          <t>adaptation</t>
        </is>
      </c>
      <c r="D2" s="2" t="inlineStr">
        <is>
          <t>적응</t>
        </is>
      </c>
    </row>
    <row r="3">
      <c r="A3" s="2" t="inlineStr">
        <is>
          <t>☐</t>
        </is>
      </c>
      <c r="B3" s="2" t="inlineStr">
        <is>
          <t>생물·진화</t>
        </is>
      </c>
      <c r="C3" s="2" t="inlineStr">
        <is>
          <t>ancestor</t>
        </is>
      </c>
      <c r="D3" s="2" t="inlineStr">
        <is>
          <t>조상 (≠ descendant 후손)</t>
        </is>
      </c>
    </row>
    <row r="4">
      <c r="A4" s="2" t="inlineStr">
        <is>
          <t>☐</t>
        </is>
      </c>
      <c r="B4" s="2" t="inlineStr">
        <is>
          <t>생물·진화</t>
        </is>
      </c>
      <c r="C4" s="2" t="inlineStr">
        <is>
          <t>gene / genetic</t>
        </is>
      </c>
      <c r="D4" s="2" t="inlineStr">
        <is>
          <t>유전자 / 유전의</t>
        </is>
      </c>
    </row>
    <row r="5">
      <c r="A5" s="2" t="inlineStr">
        <is>
          <t>☐</t>
        </is>
      </c>
      <c r="B5" s="2" t="inlineStr">
        <is>
          <t>생물·진화</t>
        </is>
      </c>
      <c r="C5" s="2" t="inlineStr">
        <is>
          <t>habitat</t>
        </is>
      </c>
      <c r="D5" s="2" t="inlineStr">
        <is>
          <t>서식지</t>
        </is>
      </c>
    </row>
    <row r="6">
      <c r="A6" s="2" t="inlineStr">
        <is>
          <t>☐</t>
        </is>
      </c>
      <c r="B6" s="2" t="inlineStr">
        <is>
          <t>생물·진화</t>
        </is>
      </c>
      <c r="C6" s="2" t="inlineStr">
        <is>
          <t>instinct</t>
        </is>
      </c>
      <c r="D6" s="2" t="inlineStr">
        <is>
          <t>본능 (a. instinctive)</t>
        </is>
      </c>
    </row>
    <row r="7">
      <c r="A7" s="2" t="inlineStr">
        <is>
          <t>☐</t>
        </is>
      </c>
      <c r="B7" s="2" t="inlineStr">
        <is>
          <t>생물·진화</t>
        </is>
      </c>
      <c r="C7" s="2" t="inlineStr">
        <is>
          <t>mutation</t>
        </is>
      </c>
      <c r="D7" s="2" t="inlineStr">
        <is>
          <t>돌연변이</t>
        </is>
      </c>
    </row>
    <row r="8">
      <c r="A8" s="2" t="inlineStr">
        <is>
          <t>☐</t>
        </is>
      </c>
      <c r="B8" s="2" t="inlineStr">
        <is>
          <t>생물·진화</t>
        </is>
      </c>
      <c r="C8" s="2" t="inlineStr">
        <is>
          <t>natural selection</t>
        </is>
      </c>
      <c r="D8" s="2" t="inlineStr">
        <is>
          <t>자연선택</t>
        </is>
      </c>
    </row>
    <row r="9">
      <c r="A9" s="2" t="inlineStr">
        <is>
          <t>☐</t>
        </is>
      </c>
      <c r="B9" s="2" t="inlineStr">
        <is>
          <t>생물·진화</t>
        </is>
      </c>
      <c r="C9" s="2" t="inlineStr">
        <is>
          <t>organism</t>
        </is>
      </c>
      <c r="D9" s="2" t="inlineStr">
        <is>
          <t>유기체, 생물</t>
        </is>
      </c>
    </row>
    <row r="10">
      <c r="A10" s="2" t="inlineStr">
        <is>
          <t>☐</t>
        </is>
      </c>
      <c r="B10" s="2" t="inlineStr">
        <is>
          <t>생물·진화</t>
        </is>
      </c>
      <c r="C10" s="2" t="inlineStr">
        <is>
          <t>predator / prey</t>
        </is>
      </c>
      <c r="D10" s="2" t="inlineStr">
        <is>
          <t>포식자 / 먹잇감</t>
        </is>
      </c>
    </row>
    <row r="11">
      <c r="A11" s="2" t="inlineStr">
        <is>
          <t>☐</t>
        </is>
      </c>
      <c r="B11" s="2" t="inlineStr">
        <is>
          <t>생물·진화</t>
        </is>
      </c>
      <c r="C11" s="2" t="inlineStr">
        <is>
          <t>species</t>
        </is>
      </c>
      <c r="D11" s="2" t="inlineStr">
        <is>
          <t>종 (단수·복수 동형)</t>
        </is>
      </c>
    </row>
    <row r="12">
      <c r="A12" s="2" t="inlineStr">
        <is>
          <t>☐</t>
        </is>
      </c>
      <c r="B12" s="2" t="inlineStr">
        <is>
          <t>환경·지구</t>
        </is>
      </c>
      <c r="C12" s="2" t="inlineStr">
        <is>
          <t>carbon emission</t>
        </is>
      </c>
      <c r="D12" s="2" t="inlineStr">
        <is>
          <t>탄소 배출</t>
        </is>
      </c>
    </row>
    <row r="13">
      <c r="A13" s="2" t="inlineStr">
        <is>
          <t>☐</t>
        </is>
      </c>
      <c r="B13" s="2" t="inlineStr">
        <is>
          <t>환경·지구</t>
        </is>
      </c>
      <c r="C13" s="2" t="inlineStr">
        <is>
          <t>contaminate</t>
        </is>
      </c>
      <c r="D13" s="2" t="inlineStr">
        <is>
          <t>오염시키다 = pollute</t>
        </is>
      </c>
    </row>
    <row r="14">
      <c r="A14" s="2" t="inlineStr">
        <is>
          <t>☐</t>
        </is>
      </c>
      <c r="B14" s="2" t="inlineStr">
        <is>
          <t>환경·지구</t>
        </is>
      </c>
      <c r="C14" s="2" t="inlineStr">
        <is>
          <t>deforestation</t>
        </is>
      </c>
      <c r="D14" s="2" t="inlineStr">
        <is>
          <t>산림 파괴</t>
        </is>
      </c>
    </row>
    <row r="15">
      <c r="A15" s="2" t="inlineStr">
        <is>
          <t>☐</t>
        </is>
      </c>
      <c r="B15" s="2" t="inlineStr">
        <is>
          <t>환경·지구</t>
        </is>
      </c>
      <c r="C15" s="2" t="inlineStr">
        <is>
          <t>drought</t>
        </is>
      </c>
      <c r="D15" s="2" t="inlineStr">
        <is>
          <t>가뭄</t>
        </is>
      </c>
    </row>
    <row r="16">
      <c r="A16" s="2" t="inlineStr">
        <is>
          <t>☐</t>
        </is>
      </c>
      <c r="B16" s="2" t="inlineStr">
        <is>
          <t>환경·지구</t>
        </is>
      </c>
      <c r="C16" s="2" t="inlineStr">
        <is>
          <t>ecosystem</t>
        </is>
      </c>
      <c r="D16" s="2" t="inlineStr">
        <is>
          <t>생태계</t>
        </is>
      </c>
    </row>
    <row r="17">
      <c r="A17" s="2" t="inlineStr">
        <is>
          <t>☐</t>
        </is>
      </c>
      <c r="B17" s="2" t="inlineStr">
        <is>
          <t>환경·지구</t>
        </is>
      </c>
      <c r="C17" s="2" t="inlineStr">
        <is>
          <t>erosion</t>
        </is>
      </c>
      <c r="D17" s="2" t="inlineStr">
        <is>
          <t>침식 (v. erode)</t>
        </is>
      </c>
    </row>
    <row r="18">
      <c r="A18" s="2" t="inlineStr">
        <is>
          <t>☐</t>
        </is>
      </c>
      <c r="B18" s="2" t="inlineStr">
        <is>
          <t>환경·지구</t>
        </is>
      </c>
      <c r="C18" s="2" t="inlineStr">
        <is>
          <t>extinction</t>
        </is>
      </c>
      <c r="D18" s="2" t="inlineStr">
        <is>
          <t>멸종 (a. extinct)</t>
        </is>
      </c>
    </row>
    <row r="19">
      <c r="A19" s="2" t="inlineStr">
        <is>
          <t>☐</t>
        </is>
      </c>
      <c r="B19" s="2" t="inlineStr">
        <is>
          <t>환경·지구</t>
        </is>
      </c>
      <c r="C19" s="2" t="inlineStr">
        <is>
          <t>fossil fuel</t>
        </is>
      </c>
      <c r="D19" s="2" t="inlineStr">
        <is>
          <t>화석연료</t>
        </is>
      </c>
    </row>
    <row r="20">
      <c r="A20" s="2" t="inlineStr">
        <is>
          <t>☐</t>
        </is>
      </c>
      <c r="B20" s="2" t="inlineStr">
        <is>
          <t>환경·지구</t>
        </is>
      </c>
      <c r="C20" s="2" t="inlineStr">
        <is>
          <t>renewable</t>
        </is>
      </c>
      <c r="D20" s="2" t="inlineStr">
        <is>
          <t>재생 가능한</t>
        </is>
      </c>
    </row>
    <row r="21">
      <c r="A21" s="2" t="inlineStr">
        <is>
          <t>☐</t>
        </is>
      </c>
      <c r="B21" s="2" t="inlineStr">
        <is>
          <t>환경·지구</t>
        </is>
      </c>
      <c r="C21" s="2" t="inlineStr">
        <is>
          <t>sediment</t>
        </is>
      </c>
      <c r="D21" s="2" t="inlineStr">
        <is>
          <t>퇴적물</t>
        </is>
      </c>
    </row>
    <row r="22">
      <c r="A22" s="2" t="inlineStr">
        <is>
          <t>☐</t>
        </is>
      </c>
      <c r="B22" s="2" t="inlineStr">
        <is>
          <t>의학·건강</t>
        </is>
      </c>
      <c r="C22" s="2" t="inlineStr">
        <is>
          <t>chronic</t>
        </is>
      </c>
      <c r="D22" s="2" t="inlineStr">
        <is>
          <t>만성의 (≠ acute 급성의)</t>
        </is>
      </c>
    </row>
    <row r="23">
      <c r="A23" s="2" t="inlineStr">
        <is>
          <t>☐</t>
        </is>
      </c>
      <c r="B23" s="2" t="inlineStr">
        <is>
          <t>의학·건강</t>
        </is>
      </c>
      <c r="C23" s="2" t="inlineStr">
        <is>
          <t>diagnose</t>
        </is>
      </c>
      <c r="D23" s="2" t="inlineStr">
        <is>
          <t>진단하다 (n. diagnosis)</t>
        </is>
      </c>
    </row>
    <row r="24">
      <c r="A24" s="2" t="inlineStr">
        <is>
          <t>☐</t>
        </is>
      </c>
      <c r="B24" s="2" t="inlineStr">
        <is>
          <t>의학·건강</t>
        </is>
      </c>
      <c r="C24" s="2" t="inlineStr">
        <is>
          <t>immune</t>
        </is>
      </c>
      <c r="D24" s="2" t="inlineStr">
        <is>
          <t>면역의 (n. immunity)</t>
        </is>
      </c>
    </row>
    <row r="25">
      <c r="A25" s="2" t="inlineStr">
        <is>
          <t>☐</t>
        </is>
      </c>
      <c r="B25" s="2" t="inlineStr">
        <is>
          <t>의학·건강</t>
        </is>
      </c>
      <c r="C25" s="2" t="inlineStr">
        <is>
          <t>infection</t>
        </is>
      </c>
      <c r="D25" s="2" t="inlineStr">
        <is>
          <t>감염</t>
        </is>
      </c>
    </row>
    <row r="26">
      <c r="A26" s="2" t="inlineStr">
        <is>
          <t>☐</t>
        </is>
      </c>
      <c r="B26" s="2" t="inlineStr">
        <is>
          <t>의학·건강</t>
        </is>
      </c>
      <c r="C26" s="2" t="inlineStr">
        <is>
          <t>metabolism</t>
        </is>
      </c>
      <c r="D26" s="2" t="inlineStr">
        <is>
          <t>신진대사</t>
        </is>
      </c>
    </row>
    <row r="27">
      <c r="A27" s="2" t="inlineStr">
        <is>
          <t>☐</t>
        </is>
      </c>
      <c r="B27" s="2" t="inlineStr">
        <is>
          <t>의학·건강</t>
        </is>
      </c>
      <c r="C27" s="2" t="inlineStr">
        <is>
          <t>placebo</t>
        </is>
      </c>
      <c r="D27" s="2" t="inlineStr">
        <is>
          <t>위약</t>
        </is>
      </c>
    </row>
    <row r="28">
      <c r="A28" s="2" t="inlineStr">
        <is>
          <t>☐</t>
        </is>
      </c>
      <c r="B28" s="2" t="inlineStr">
        <is>
          <t>의학·건강</t>
        </is>
      </c>
      <c r="C28" s="2" t="inlineStr">
        <is>
          <t>symptom</t>
        </is>
      </c>
      <c r="D28" s="2" t="inlineStr">
        <is>
          <t>증상</t>
        </is>
      </c>
    </row>
    <row r="29">
      <c r="A29" s="2" t="inlineStr">
        <is>
          <t>☐</t>
        </is>
      </c>
      <c r="B29" s="2" t="inlineStr">
        <is>
          <t>의학·건강</t>
        </is>
      </c>
      <c r="C29" s="2" t="inlineStr">
        <is>
          <t>therapy</t>
        </is>
      </c>
      <c r="D29" s="2" t="inlineStr">
        <is>
          <t>치료법</t>
        </is>
      </c>
    </row>
    <row r="30">
      <c r="A30" s="2" t="inlineStr">
        <is>
          <t>☐</t>
        </is>
      </c>
      <c r="B30" s="2" t="inlineStr">
        <is>
          <t>의학·건강</t>
        </is>
      </c>
      <c r="C30" s="2" t="inlineStr">
        <is>
          <t>vaccine</t>
        </is>
      </c>
      <c r="D30" s="2" t="inlineStr">
        <is>
          <t>백신</t>
        </is>
      </c>
    </row>
    <row r="31">
      <c r="A31" s="2" t="inlineStr">
        <is>
          <t>☐</t>
        </is>
      </c>
      <c r="B31" s="2" t="inlineStr">
        <is>
          <t>의학·건강</t>
        </is>
      </c>
      <c r="C31" s="2" t="inlineStr">
        <is>
          <t>nutrient</t>
        </is>
      </c>
      <c r="D31" s="2" t="inlineStr">
        <is>
          <t>영양소 (n. nutrition)</t>
        </is>
      </c>
    </row>
    <row r="32">
      <c r="A32" s="2" t="inlineStr">
        <is>
          <t>☐</t>
        </is>
      </c>
      <c r="B32" s="2" t="inlineStr">
        <is>
          <t>심리·뇌</t>
        </is>
      </c>
      <c r="C32" s="2" t="inlineStr">
        <is>
          <t>cortex</t>
        </is>
      </c>
      <c r="D32" s="2" t="inlineStr">
        <is>
          <t>(대뇌) 피질</t>
        </is>
      </c>
    </row>
    <row r="33">
      <c r="A33" s="2" t="inlineStr">
        <is>
          <t>☐</t>
        </is>
      </c>
      <c r="B33" s="2" t="inlineStr">
        <is>
          <t>심리·뇌</t>
        </is>
      </c>
      <c r="C33" s="2" t="inlineStr">
        <is>
          <t>gratification</t>
        </is>
      </c>
      <c r="D33" s="2" t="inlineStr">
        <is>
          <t>만족 (delayed gratification 만족 지연)</t>
        </is>
      </c>
    </row>
    <row r="34">
      <c r="A34" s="2" t="inlineStr">
        <is>
          <t>☐</t>
        </is>
      </c>
      <c r="B34" s="2" t="inlineStr">
        <is>
          <t>심리·뇌</t>
        </is>
      </c>
      <c r="C34" s="2" t="inlineStr">
        <is>
          <t>intuition</t>
        </is>
      </c>
      <c r="D34" s="2" t="inlineStr">
        <is>
          <t>직관</t>
        </is>
      </c>
    </row>
    <row r="35">
      <c r="A35" s="2" t="inlineStr">
        <is>
          <t>☐</t>
        </is>
      </c>
      <c r="B35" s="2" t="inlineStr">
        <is>
          <t>심리·뇌</t>
        </is>
      </c>
      <c r="C35" s="2" t="inlineStr">
        <is>
          <t>neuron</t>
        </is>
      </c>
      <c r="D35" s="2" t="inlineStr">
        <is>
          <t>신경세포</t>
        </is>
      </c>
    </row>
    <row r="36">
      <c r="A36" s="2" t="inlineStr">
        <is>
          <t>☐</t>
        </is>
      </c>
      <c r="B36" s="2" t="inlineStr">
        <is>
          <t>심리·뇌</t>
        </is>
      </c>
      <c r="C36" s="2" t="inlineStr">
        <is>
          <t>perception</t>
        </is>
      </c>
      <c r="D36" s="2" t="inlineStr">
        <is>
          <t>인식, 지각</t>
        </is>
      </c>
    </row>
    <row r="37">
      <c r="A37" s="2" t="inlineStr">
        <is>
          <t>☐</t>
        </is>
      </c>
      <c r="B37" s="2" t="inlineStr">
        <is>
          <t>심리·뇌</t>
        </is>
      </c>
      <c r="C37" s="2" t="inlineStr">
        <is>
          <t>self-esteem</t>
        </is>
      </c>
      <c r="D37" s="2" t="inlineStr">
        <is>
          <t>자존감</t>
        </is>
      </c>
    </row>
    <row r="38">
      <c r="A38" s="2" t="inlineStr">
        <is>
          <t>☐</t>
        </is>
      </c>
      <c r="B38" s="2" t="inlineStr">
        <is>
          <t>심리·뇌</t>
        </is>
      </c>
      <c r="C38" s="2" t="inlineStr">
        <is>
          <t>stimulus</t>
        </is>
      </c>
      <c r="D38" s="2" t="inlineStr">
        <is>
          <t>자극 (pl. stimuli)</t>
        </is>
      </c>
    </row>
    <row r="39">
      <c r="A39" s="2" t="inlineStr">
        <is>
          <t>☐</t>
        </is>
      </c>
      <c r="B39" s="2" t="inlineStr">
        <is>
          <t>심리·뇌</t>
        </is>
      </c>
      <c r="C39" s="2" t="inlineStr">
        <is>
          <t>subconscious</t>
        </is>
      </c>
      <c r="D39" s="2" t="inlineStr">
        <is>
          <t>잠재의식(의)</t>
        </is>
      </c>
    </row>
    <row r="40">
      <c r="A40" s="2" t="inlineStr">
        <is>
          <t>☐</t>
        </is>
      </c>
      <c r="B40" s="2" t="inlineStr">
        <is>
          <t>심리·뇌</t>
        </is>
      </c>
      <c r="C40" s="2" t="inlineStr">
        <is>
          <t>conformity</t>
        </is>
      </c>
      <c r="D40" s="2" t="inlineStr">
        <is>
          <t>동조, 순응</t>
        </is>
      </c>
    </row>
    <row r="41">
      <c r="A41" s="2" t="inlineStr">
        <is>
          <t>☐</t>
        </is>
      </c>
      <c r="B41" s="2" t="inlineStr">
        <is>
          <t>심리·뇌</t>
        </is>
      </c>
      <c r="C41" s="2" t="inlineStr">
        <is>
          <t>cognitive bias</t>
        </is>
      </c>
      <c r="D41" s="2" t="inlineStr">
        <is>
          <t>인지 편향</t>
        </is>
      </c>
    </row>
    <row r="42">
      <c r="A42" s="2" t="inlineStr">
        <is>
          <t>☐</t>
        </is>
      </c>
      <c r="B42" s="2" t="inlineStr">
        <is>
          <t>경제·사회</t>
        </is>
      </c>
      <c r="C42" s="2" t="inlineStr">
        <is>
          <t>commodity</t>
        </is>
      </c>
      <c r="D42" s="2" t="inlineStr">
        <is>
          <t>상품</t>
        </is>
      </c>
    </row>
    <row r="43">
      <c r="A43" s="2" t="inlineStr">
        <is>
          <t>☐</t>
        </is>
      </c>
      <c r="B43" s="2" t="inlineStr">
        <is>
          <t>경제·사회</t>
        </is>
      </c>
      <c r="C43" s="2" t="inlineStr">
        <is>
          <t>currency</t>
        </is>
      </c>
      <c r="D43" s="2" t="inlineStr">
        <is>
          <t>통화</t>
        </is>
      </c>
    </row>
    <row r="44">
      <c r="A44" s="2" t="inlineStr">
        <is>
          <t>☐</t>
        </is>
      </c>
      <c r="B44" s="2" t="inlineStr">
        <is>
          <t>경제·사회</t>
        </is>
      </c>
      <c r="C44" s="2" t="inlineStr">
        <is>
          <t>deficit</t>
        </is>
      </c>
      <c r="D44" s="2" t="inlineStr">
        <is>
          <t>적자, 부족 (≠ surplus 흑자)</t>
        </is>
      </c>
    </row>
    <row r="45">
      <c r="A45" s="2" t="inlineStr">
        <is>
          <t>☐</t>
        </is>
      </c>
      <c r="B45" s="2" t="inlineStr">
        <is>
          <t>경제·사회</t>
        </is>
      </c>
      <c r="C45" s="2" t="inlineStr">
        <is>
          <t>incentive</t>
        </is>
      </c>
      <c r="D45" s="2" t="inlineStr">
        <is>
          <t>유인책</t>
        </is>
      </c>
    </row>
    <row r="46">
      <c r="A46" s="2" t="inlineStr">
        <is>
          <t>☐</t>
        </is>
      </c>
      <c r="B46" s="2" t="inlineStr">
        <is>
          <t>경제·사회</t>
        </is>
      </c>
      <c r="C46" s="2" t="inlineStr">
        <is>
          <t>inflation</t>
        </is>
      </c>
      <c r="D46" s="2" t="inlineStr">
        <is>
          <t>물가 상승</t>
        </is>
      </c>
    </row>
    <row r="47">
      <c r="A47" s="2" t="inlineStr">
        <is>
          <t>☐</t>
        </is>
      </c>
      <c r="B47" s="2" t="inlineStr">
        <is>
          <t>경제·사회</t>
        </is>
      </c>
      <c r="C47" s="2" t="inlineStr">
        <is>
          <t>invest</t>
        </is>
      </c>
      <c r="D47" s="2" t="inlineStr">
        <is>
          <t>투자하다 (n. investment)</t>
        </is>
      </c>
    </row>
    <row r="48">
      <c r="A48" s="2" t="inlineStr">
        <is>
          <t>☐</t>
        </is>
      </c>
      <c r="B48" s="2" t="inlineStr">
        <is>
          <t>경제·사회</t>
        </is>
      </c>
      <c r="C48" s="2" t="inlineStr">
        <is>
          <t>monopoly</t>
        </is>
      </c>
      <c r="D48" s="2" t="inlineStr">
        <is>
          <t>독점</t>
        </is>
      </c>
    </row>
    <row r="49">
      <c r="A49" s="2" t="inlineStr">
        <is>
          <t>☐</t>
        </is>
      </c>
      <c r="B49" s="2" t="inlineStr">
        <is>
          <t>경제·사회</t>
        </is>
      </c>
      <c r="C49" s="2" t="inlineStr">
        <is>
          <t>revenue</t>
        </is>
      </c>
      <c r="D49" s="2" t="inlineStr">
        <is>
          <t>수입</t>
        </is>
      </c>
    </row>
    <row r="50">
      <c r="A50" s="2" t="inlineStr">
        <is>
          <t>☐</t>
        </is>
      </c>
      <c r="B50" s="2" t="inlineStr">
        <is>
          <t>경제·사회</t>
        </is>
      </c>
      <c r="C50" s="2" t="inlineStr">
        <is>
          <t>scarcity</t>
        </is>
      </c>
      <c r="D50" s="2" t="inlineStr">
        <is>
          <t>희소성 (a. scarce)</t>
        </is>
      </c>
    </row>
    <row r="51">
      <c r="A51" s="2" t="inlineStr">
        <is>
          <t>☐</t>
        </is>
      </c>
      <c r="B51" s="2" t="inlineStr">
        <is>
          <t>경제·사회</t>
        </is>
      </c>
      <c r="C51" s="2" t="inlineStr">
        <is>
          <t>welfare</t>
        </is>
      </c>
      <c r="D51" s="2" t="inlineStr">
        <is>
          <t>복지</t>
        </is>
      </c>
    </row>
    <row r="52">
      <c r="A52" s="2" t="inlineStr">
        <is>
          <t>☐</t>
        </is>
      </c>
      <c r="B52" s="2" t="inlineStr">
        <is>
          <t>기술·과학</t>
        </is>
      </c>
      <c r="C52" s="2" t="inlineStr">
        <is>
          <t>algorithm</t>
        </is>
      </c>
      <c r="D52" s="2" t="inlineStr">
        <is>
          <t>알고리즘</t>
        </is>
      </c>
    </row>
    <row r="53">
      <c r="A53" s="2" t="inlineStr">
        <is>
          <t>☐</t>
        </is>
      </c>
      <c r="B53" s="2" t="inlineStr">
        <is>
          <t>기술·과학</t>
        </is>
      </c>
      <c r="C53" s="2" t="inlineStr">
        <is>
          <t>automation</t>
        </is>
      </c>
      <c r="D53" s="2" t="inlineStr">
        <is>
          <t>자동화</t>
        </is>
      </c>
    </row>
    <row r="54">
      <c r="A54" s="2" t="inlineStr">
        <is>
          <t>☐</t>
        </is>
      </c>
      <c r="B54" s="2" t="inlineStr">
        <is>
          <t>기술·과학</t>
        </is>
      </c>
      <c r="C54" s="2" t="inlineStr">
        <is>
          <t>device</t>
        </is>
      </c>
      <c r="D54" s="2" t="inlineStr">
        <is>
          <t>장치</t>
        </is>
      </c>
    </row>
    <row r="55">
      <c r="A55" s="2" t="inlineStr">
        <is>
          <t>☐</t>
        </is>
      </c>
      <c r="B55" s="2" t="inlineStr">
        <is>
          <t>기술·과학</t>
        </is>
      </c>
      <c r="C55" s="2" t="inlineStr">
        <is>
          <t>friction</t>
        </is>
      </c>
      <c r="D55" s="2" t="inlineStr">
        <is>
          <t>마찰</t>
        </is>
      </c>
    </row>
    <row r="56">
      <c r="A56" s="2" t="inlineStr">
        <is>
          <t>☐</t>
        </is>
      </c>
      <c r="B56" s="2" t="inlineStr">
        <is>
          <t>기술·과학</t>
        </is>
      </c>
      <c r="C56" s="2" t="inlineStr">
        <is>
          <t>gravity</t>
        </is>
      </c>
      <c r="D56" s="2" t="inlineStr">
        <is>
          <t>중력</t>
        </is>
      </c>
    </row>
    <row r="57">
      <c r="A57" s="2" t="inlineStr">
        <is>
          <t>☐</t>
        </is>
      </c>
      <c r="B57" s="2" t="inlineStr">
        <is>
          <t>기술·과학</t>
        </is>
      </c>
      <c r="C57" s="2" t="inlineStr">
        <is>
          <t>molecule</t>
        </is>
      </c>
      <c r="D57" s="2" t="inlineStr">
        <is>
          <t>분자 (a. molecular)</t>
        </is>
      </c>
    </row>
    <row r="58">
      <c r="A58" s="2" t="inlineStr">
        <is>
          <t>☐</t>
        </is>
      </c>
      <c r="B58" s="2" t="inlineStr">
        <is>
          <t>기술·과학</t>
        </is>
      </c>
      <c r="C58" s="2" t="inlineStr">
        <is>
          <t>particle</t>
        </is>
      </c>
      <c r="D58" s="2" t="inlineStr">
        <is>
          <t>입자</t>
        </is>
      </c>
    </row>
    <row r="59">
      <c r="A59" s="2" t="inlineStr">
        <is>
          <t>☐</t>
        </is>
      </c>
      <c r="B59" s="2" t="inlineStr">
        <is>
          <t>기술·과학</t>
        </is>
      </c>
      <c r="C59" s="2" t="inlineStr">
        <is>
          <t>replicate</t>
        </is>
      </c>
      <c r="D59" s="2" t="inlineStr">
        <is>
          <t>복제하다, 재현하다</t>
        </is>
      </c>
    </row>
    <row r="60">
      <c r="A60" s="2" t="inlineStr">
        <is>
          <t>☐</t>
        </is>
      </c>
      <c r="B60" s="2" t="inlineStr">
        <is>
          <t>기술·과학</t>
        </is>
      </c>
      <c r="C60" s="2" t="inlineStr">
        <is>
          <t>variable</t>
        </is>
      </c>
      <c r="D60" s="2" t="inlineStr">
        <is>
          <t>변수; 변하기 쉬운</t>
        </is>
      </c>
    </row>
    <row r="61">
      <c r="A61" s="2" t="inlineStr">
        <is>
          <t>☐</t>
        </is>
      </c>
      <c r="B61" s="2" t="inlineStr">
        <is>
          <t>기술·과학</t>
        </is>
      </c>
      <c r="C61" s="2" t="inlineStr">
        <is>
          <t>verify</t>
        </is>
      </c>
      <c r="D61" s="2" t="inlineStr">
        <is>
          <t>입증하다, 확인하다</t>
        </is>
      </c>
    </row>
    <row r="62">
      <c r="A62" s="2" t="inlineStr">
        <is>
          <t>☐</t>
        </is>
      </c>
      <c r="B62" s="2" t="inlineStr">
        <is>
          <t>예술·문학</t>
        </is>
      </c>
      <c r="C62" s="2" t="inlineStr">
        <is>
          <t>aesthetic</t>
        </is>
      </c>
      <c r="D62" s="2" t="inlineStr">
        <is>
          <t>미적인</t>
        </is>
      </c>
    </row>
    <row r="63">
      <c r="A63" s="2" t="inlineStr">
        <is>
          <t>☐</t>
        </is>
      </c>
      <c r="B63" s="2" t="inlineStr">
        <is>
          <t>예술·문학</t>
        </is>
      </c>
      <c r="C63" s="2" t="inlineStr">
        <is>
          <t>composer</t>
        </is>
      </c>
      <c r="D63" s="2" t="inlineStr">
        <is>
          <t>작곡가 (v. compose)</t>
        </is>
      </c>
    </row>
    <row r="64">
      <c r="A64" s="2" t="inlineStr">
        <is>
          <t>☐</t>
        </is>
      </c>
      <c r="B64" s="2" t="inlineStr">
        <is>
          <t>예술·문학</t>
        </is>
      </c>
      <c r="C64" s="2" t="inlineStr">
        <is>
          <t>depict</t>
        </is>
      </c>
      <c r="D64" s="2" t="inlineStr">
        <is>
          <t>묘사하다 = portray</t>
        </is>
      </c>
    </row>
    <row r="65">
      <c r="A65" s="2" t="inlineStr">
        <is>
          <t>☐</t>
        </is>
      </c>
      <c r="B65" s="2" t="inlineStr">
        <is>
          <t>예술·문학</t>
        </is>
      </c>
      <c r="C65" s="2" t="inlineStr">
        <is>
          <t>genre</t>
        </is>
      </c>
      <c r="D65" s="2" t="inlineStr">
        <is>
          <t>장르</t>
        </is>
      </c>
    </row>
    <row r="66">
      <c r="A66" s="2" t="inlineStr">
        <is>
          <t>☐</t>
        </is>
      </c>
      <c r="B66" s="2" t="inlineStr">
        <is>
          <t>예술·문학</t>
        </is>
      </c>
      <c r="C66" s="2" t="inlineStr">
        <is>
          <t>improvise</t>
        </is>
      </c>
      <c r="D66" s="2" t="inlineStr">
        <is>
          <t>즉흥으로 하다</t>
        </is>
      </c>
    </row>
    <row r="67">
      <c r="A67" s="2" t="inlineStr">
        <is>
          <t>☐</t>
        </is>
      </c>
      <c r="B67" s="2" t="inlineStr">
        <is>
          <t>예술·문학</t>
        </is>
      </c>
      <c r="C67" s="2" t="inlineStr">
        <is>
          <t>metaphor</t>
        </is>
      </c>
      <c r="D67" s="2" t="inlineStr">
        <is>
          <t>은유</t>
        </is>
      </c>
    </row>
    <row r="68">
      <c r="A68" s="2" t="inlineStr">
        <is>
          <t>☐</t>
        </is>
      </c>
      <c r="B68" s="2" t="inlineStr">
        <is>
          <t>예술·문학</t>
        </is>
      </c>
      <c r="C68" s="2" t="inlineStr">
        <is>
          <t>originality</t>
        </is>
      </c>
      <c r="D68" s="2" t="inlineStr">
        <is>
          <t>독창성</t>
        </is>
      </c>
    </row>
    <row r="69">
      <c r="A69" s="2" t="inlineStr">
        <is>
          <t>☐</t>
        </is>
      </c>
      <c r="B69" s="2" t="inlineStr">
        <is>
          <t>예술·문학</t>
        </is>
      </c>
      <c r="C69" s="2" t="inlineStr">
        <is>
          <t>protagonist</t>
        </is>
      </c>
      <c r="D69" s="2" t="inlineStr">
        <is>
          <t>주인공</t>
        </is>
      </c>
    </row>
    <row r="70">
      <c r="A70" s="2" t="inlineStr">
        <is>
          <t>☐</t>
        </is>
      </c>
      <c r="B70" s="2" t="inlineStr">
        <is>
          <t>예술·문학</t>
        </is>
      </c>
      <c r="C70" s="2" t="inlineStr">
        <is>
          <t>rhythm</t>
        </is>
      </c>
      <c r="D70" s="2" t="inlineStr">
        <is>
          <t>리듬, 운율</t>
        </is>
      </c>
    </row>
    <row r="71">
      <c r="A71" s="2" t="inlineStr">
        <is>
          <t>☐</t>
        </is>
      </c>
      <c r="B71" s="2" t="inlineStr">
        <is>
          <t>예술·문학</t>
        </is>
      </c>
      <c r="C71" s="2" t="inlineStr">
        <is>
          <t>sculpture</t>
        </is>
      </c>
      <c r="D71" s="2" t="inlineStr">
        <is>
          <t>조각</t>
        </is>
      </c>
    </row>
    <row r="72">
      <c r="A72" s="2" t="inlineStr">
        <is>
          <t>☐</t>
        </is>
      </c>
      <c r="B72" s="2" t="inlineStr">
        <is>
          <t>철학·역사</t>
        </is>
      </c>
      <c r="C72" s="2" t="inlineStr">
        <is>
          <t>agriculture</t>
        </is>
      </c>
      <c r="D72" s="2" t="inlineStr">
        <is>
          <t>농업 (a. agricultural)</t>
        </is>
      </c>
    </row>
    <row r="73">
      <c r="A73" s="2" t="inlineStr">
        <is>
          <t>☐</t>
        </is>
      </c>
      <c r="B73" s="2" t="inlineStr">
        <is>
          <t>철학·역사</t>
        </is>
      </c>
      <c r="C73" s="2" t="inlineStr">
        <is>
          <t>artifact</t>
        </is>
      </c>
      <c r="D73" s="2" t="inlineStr">
        <is>
          <t>유물, 인공물</t>
        </is>
      </c>
    </row>
    <row r="74">
      <c r="A74" s="2" t="inlineStr">
        <is>
          <t>☐</t>
        </is>
      </c>
      <c r="B74" s="2" t="inlineStr">
        <is>
          <t>철학·역사</t>
        </is>
      </c>
      <c r="C74" s="2" t="inlineStr">
        <is>
          <t>civilization</t>
        </is>
      </c>
      <c r="D74" s="2" t="inlineStr">
        <is>
          <t>문명</t>
        </is>
      </c>
    </row>
    <row r="75">
      <c r="A75" s="2" t="inlineStr">
        <is>
          <t>☐</t>
        </is>
      </c>
      <c r="B75" s="2" t="inlineStr">
        <is>
          <t>철학·역사</t>
        </is>
      </c>
      <c r="C75" s="2" t="inlineStr">
        <is>
          <t>colony</t>
        </is>
      </c>
      <c r="D75" s="2" t="inlineStr">
        <is>
          <t>식민지 (a. colonial)</t>
        </is>
      </c>
    </row>
    <row r="76">
      <c r="A76" s="2" t="inlineStr">
        <is>
          <t>☐</t>
        </is>
      </c>
      <c r="B76" s="2" t="inlineStr">
        <is>
          <t>철학·역사</t>
        </is>
      </c>
      <c r="C76" s="2" t="inlineStr">
        <is>
          <t>dogma</t>
        </is>
      </c>
      <c r="D76" s="2" t="inlineStr">
        <is>
          <t>교리, 독단</t>
        </is>
      </c>
    </row>
    <row r="77">
      <c r="A77" s="2" t="inlineStr">
        <is>
          <t>☐</t>
        </is>
      </c>
      <c r="B77" s="2" t="inlineStr">
        <is>
          <t>철학·역사</t>
        </is>
      </c>
      <c r="C77" s="2" t="inlineStr">
        <is>
          <t>indigenous</t>
        </is>
      </c>
      <c r="D77" s="2" t="inlineStr">
        <is>
          <t>토착의 = native</t>
        </is>
      </c>
    </row>
    <row r="78">
      <c r="A78" s="2" t="inlineStr">
        <is>
          <t>☐</t>
        </is>
      </c>
      <c r="B78" s="2" t="inlineStr">
        <is>
          <t>철학·역사</t>
        </is>
      </c>
      <c r="C78" s="2" t="inlineStr">
        <is>
          <t>migrate</t>
        </is>
      </c>
      <c r="D78" s="2" t="inlineStr">
        <is>
          <t>이주하다 (n. migration)</t>
        </is>
      </c>
    </row>
    <row r="79">
      <c r="A79" s="2" t="inlineStr">
        <is>
          <t>☐</t>
        </is>
      </c>
      <c r="B79" s="2" t="inlineStr">
        <is>
          <t>철학·역사</t>
        </is>
      </c>
      <c r="C79" s="2" t="inlineStr">
        <is>
          <t>morality</t>
        </is>
      </c>
      <c r="D79" s="2" t="inlineStr">
        <is>
          <t>도덕성</t>
        </is>
      </c>
    </row>
    <row r="80">
      <c r="A80" s="2" t="inlineStr">
        <is>
          <t>☐</t>
        </is>
      </c>
      <c r="B80" s="2" t="inlineStr">
        <is>
          <t>철학·역사</t>
        </is>
      </c>
      <c r="C80" s="2" t="inlineStr">
        <is>
          <t>ritual</t>
        </is>
      </c>
      <c r="D80" s="2" t="inlineStr">
        <is>
          <t>의식</t>
        </is>
      </c>
    </row>
    <row r="81">
      <c r="A81" s="2" t="inlineStr">
        <is>
          <t>☐</t>
        </is>
      </c>
      <c r="B81" s="2" t="inlineStr">
        <is>
          <t>철학·역사</t>
        </is>
      </c>
      <c r="C81" s="2" t="inlineStr">
        <is>
          <t>utilitarianism</t>
        </is>
      </c>
      <c r="D81" s="2" t="inlineStr">
        <is>
          <t>공리주의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2026-10-20T05:54:53Z</dcterms:created>
  <dcterms:modified xmlns:dcterms="http://purl.org/dc/terms/" xmlns:xsi="http://www.w3.org/2001/XMLSchema-instance" xsi:type="dcterms:W3CDTF">2026-10-20T05:54:53Z</dcterms:modified>
</cp:coreProperties>
</file>